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tables/table2.xml" ContentType="application/vnd.openxmlformats-officedocument.spreadsheetml.table+xml"/>
  <Override PartName="/xl/worksheets/sheet6.xml" ContentType="application/vnd.openxmlformats-officedocument.spreadsheetml.worksheet+xml"/>
  <Override PartName="/xl/tables/table3.xml" ContentType="application/vnd.openxmlformats-officedocument.spreadsheetml.table+xml"/>
  <Override PartName="/xl/worksheets/sheet7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7131f969db048d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 &amp; Key" sheetId="1" r:id="R32c74fdd4e624b2c"/>
    <x:sheet xmlns:r="http://schemas.openxmlformats.org/officeDocument/2006/relationships" name="Bacterial Database" sheetId="2" r:id="Rea99f4a9ab514c6a"/>
    <x:sheet xmlns:r="http://schemas.openxmlformats.org/officeDocument/2006/relationships" name="How to Update" sheetId="3" r:id="Rfd117aaba3bb49c2"/>
    <x:sheet xmlns:r="http://schemas.openxmlformats.org/officeDocument/2006/relationships" name="Organisms" sheetId="4" r:id="R77efe5dfef89473d"/>
    <x:sheet xmlns:r="http://schemas.openxmlformats.org/officeDocument/2006/relationships" name="Swipe Questions" sheetId="5" r:id="R1e551af97b334d17"/>
    <x:sheet xmlns:r="http://schemas.openxmlformats.org/officeDocument/2006/relationships" name="Sources" sheetId="6" r:id="R29dbcaccf7b64c4e"/>
    <x:sheet xmlns:r="http://schemas.openxmlformats.org/officeDocument/2006/relationships" name="App Settings" sheetId="7" r:id="R0caff4a58ee34b6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11">
    <x:font>
      <x:sz val="11"/>
      <x:color theme="1"/>
      <x:name val="Calibri"/>
    </x:font>
    <x:font>
      <x:b/>
      <x:sz val="16"/>
      <x:color rgb="FF1F4E78"/>
      <x:name val="Calibri"/>
    </x:font>
    <x:font>
      <x:i/>
      <x:sz val="11"/>
      <x:color rgb="FF595959"/>
      <x:name val="Calibri"/>
    </x:font>
    <x:font>
      <x:b/>
      <x:sz val="12"/>
      <x:color rgb="FF2F5496"/>
      <x:name val="Calibri"/>
    </x:font>
    <x:font>
      <x:sz val="11"/>
      <x:name val="Calibri"/>
    </x:font>
    <x:font>
      <x:b/>
      <x:sz val="11"/>
      <x:name val="Calibri"/>
    </x:font>
    <x:font>
      <x:b/>
      <x:sz val="11"/>
      <x:color rgb="FFFFFFFF"/>
      <x:name val="Calibri"/>
    </x:font>
    <x:font>
      <x:b/>
      <x:sz val="10"/>
      <x:name val="Calibri"/>
    </x:font>
    <x:font>
      <x:sz val="10"/>
      <x:name val="Calibri"/>
    </x:font>
    <x:font>
      <x:b/>
      <x:sz val="16"/>
      <x:color rgb="FFFFFFFF"/>
      <x:name val="Calibri"/>
    </x:font>
    <x:font>
      <x:b/>
      <x:sz val="11"/>
      <x:color rgb="FF17365D"/>
      <x:name val="Calibri"/>
    </x:font>
  </x:fonts>
  <x:fills count="8">
    <x:fill>
      <x:patternFill patternType="none"/>
    </x:fill>
    <x:fill>
      <x:patternFill patternType="gray125"/>
    </x:fill>
    <x:fill>
      <x:patternFill patternType="solid">
        <x:fgColor rgb="FF2F5496"/>
      </x:patternFill>
    </x:fill>
    <x:fill>
      <x:patternFill patternType="solid">
        <x:fgColor rgb="FFF2EBF7"/>
      </x:patternFill>
    </x:fill>
    <x:fill>
      <x:patternFill patternType="solid">
        <x:fgColor rgb="FFFCE4D6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4472C4"/>
      </x:patternFill>
    </x:fill>
  </x:fills>
  <x:borders count="4">
    <x:border/>
    <x:border>
      <x:left style="thin">
        <x:color rgb="FF1F4E78"/>
      </x:left>
      <x:right style="thin">
        <x:color rgb="FF1F4E78"/>
      </x:right>
      <x:top style="medium">
        <x:color rgb="FF1F4E78"/>
      </x:top>
      <x:bottom style="medium">
        <x:color rgb="FF1F4E78"/>
      </x:bottom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  <x:border/>
  </x:borders>
  <x:cellStyleXfs count="1">
    <x:xf numFmtId="0" fontId="0" fillId="0" borderId="0"/>
  </x:cellStyleXfs>
  <x:cellXfs count="57">
    <x:xf numFmtId="0" fontId="0" fillId="0" borderId="0" xfId="0"/>
    <x:xf numFmtId="0" fontId="1" fillId="0" borderId="0" xfId="0"/>
    <x:xf numFmtId="0" fontId="2" fillId="0" borderId="0" xfId="0"/>
    <x:xf numFmtId="0" fontId="3" fillId="0" borderId="0" xfId="0"/>
    <x:xf numFmtId="0" fontId="4" fillId="0" borderId="0" xfId="0"/>
    <x:xf numFmtId="0" fontId="5" fillId="0" borderId="0" xfId="0"/>
    <x:xf numFmtId="0" fontId="6" fillId="2" borderId="1" xfId="0" applyAlignment="1">
      <x:alignment horizontal="center" vertical="top" wrapText="1"/>
    </x:xf>
    <x:xf numFmtId="0" fontId="7" fillId="3" borderId="2" xfId="0" applyAlignment="1">
      <x:alignment horizontal="left" vertical="top" wrapText="1"/>
    </x:xf>
    <x:xf numFmtId="0" fontId="8" fillId="3" borderId="2" xfId="0" applyAlignment="1">
      <x:alignment horizontal="center" vertical="top" wrapText="1"/>
    </x:xf>
    <x:xf numFmtId="0" fontId="8" fillId="3" borderId="2" xfId="0" applyAlignment="1">
      <x:alignment horizontal="left" vertical="top" wrapText="1"/>
    </x:xf>
    <x:xf numFmtId="0" fontId="7" fillId="4" borderId="2" xfId="0" applyAlignment="1">
      <x:alignment horizontal="left" vertical="top" wrapText="1"/>
    </x:xf>
    <x:xf numFmtId="0" fontId="8" fillId="4" borderId="2" xfId="0" applyAlignment="1">
      <x:alignment horizontal="center" vertical="top" wrapText="1"/>
    </x:xf>
    <x:xf numFmtId="0" fontId="8" fillId="4" borderId="2" xfId="0" applyAlignment="1">
      <x:alignment horizontal="left" vertical="top" wrapText="1"/>
    </x:xf>
    <x:xf numFmtId="0" fontId="0" fillId="0" borderId="3" xfId="0" applyNumberFormat="1" applyFont="1" applyFill="1" applyBorder="1"/>
    <x:xf numFmtId="0" fontId="1" fillId="0" borderId="3" xfId="0" applyNumberFormat="1" applyFont="1" applyFill="1" applyBorder="1"/>
    <x:xf numFmtId="0" fontId="2" fillId="0" borderId="3" xfId="0" applyNumberFormat="1" applyFont="1" applyFill="1" applyBorder="1"/>
    <x:xf numFmtId="0" fontId="3" fillId="0" borderId="3" xfId="0" applyNumberFormat="1" applyFont="1" applyFill="1" applyBorder="1"/>
    <x:xf numFmtId="0" fontId="4" fillId="0" borderId="3" xfId="0" applyNumberFormat="1" applyFont="1" applyFill="1" applyBorder="1"/>
    <x:xf numFmtId="0" fontId="5" fillId="0" borderId="3" xfId="0" applyNumberFormat="1" applyFont="1" applyFill="1" applyBorder="1"/>
    <x:xf numFmtId="0" fontId="6" fillId="2" borderId="1" xfId="0" applyNumberFormat="1" applyFont="1" applyFill="1" applyBorder="1" applyAlignment="1">
      <x:alignment horizontal="center" vertical="top" wrapText="1"/>
    </x:xf>
    <x:xf numFmtId="0" fontId="7" fillId="3" borderId="2" xfId="0" applyNumberFormat="1" applyFont="1" applyFill="1" applyBorder="1" applyAlignment="1">
      <x:alignment horizontal="left" vertical="top" wrapText="1"/>
    </x:xf>
    <x:xf numFmtId="0" fontId="8" fillId="3" borderId="2" xfId="0" applyNumberFormat="1" applyFont="1" applyFill="1" applyBorder="1" applyAlignment="1">
      <x:alignment horizontal="center" vertical="top" wrapText="1"/>
    </x:xf>
    <x:xf numFmtId="0" fontId="8" fillId="3" borderId="2" xfId="0" applyNumberFormat="1" applyFont="1" applyFill="1" applyBorder="1" applyAlignment="1">
      <x:alignment horizontal="left" vertical="top" wrapText="1"/>
    </x:xf>
    <x:xf numFmtId="0" fontId="7" fillId="4" borderId="2" xfId="0" applyNumberFormat="1" applyFont="1" applyFill="1" applyBorder="1" applyAlignment="1">
      <x:alignment horizontal="left" vertical="top" wrapText="1"/>
    </x:xf>
    <x:xf numFmtId="0" fontId="8" fillId="4" borderId="2" xfId="0" applyNumberFormat="1" applyFont="1" applyFill="1" applyBorder="1" applyAlignment="1">
      <x:alignment horizontal="center" vertical="top" wrapText="1"/>
    </x:xf>
    <x:xf numFmtId="0" fontId="8" fillId="4" borderId="2" xfId="0" applyNumberFormat="1" applyFont="1" applyFill="1" applyBorder="1" applyAlignment="1">
      <x:alignment horizontal="left" vertical="top" wrapText="1"/>
    </x:xf>
    <x:xf numFmtId="0" fontId="0" fillId="5" borderId="0" xfId="0" applyNumberFormat="1" applyFont="1" applyFill="1" applyBorder="1"/>
    <x:xf numFmtId="0" fontId="9" fillId="5" borderId="0" xfId="0" applyNumberFormat="1" applyFont="1" applyFill="1" applyBorder="1"/>
    <x:xf numFmtId="0" fontId="9" fillId="5" borderId="0" xfId="0" applyNumberFormat="1" applyFont="1" applyFill="1" applyBorder="1" applyAlignment="1">
      <x:alignment vertical="center"/>
    </x:xf>
    <x:xf numFmtId="0" fontId="0" fillId="5" borderId="3" xfId="0" applyNumberFormat="1" applyFont="1" applyFill="1" applyBorder="1"/>
    <x:xf numFmtId="0" fontId="9" fillId="5" borderId="3" xfId="0" applyNumberFormat="1" applyFont="1" applyFill="1" applyBorder="1"/>
    <x:xf numFmtId="0" fontId="9" fillId="5" borderId="3" xfId="0" applyNumberFormat="1" applyFont="1" applyFill="1" applyBorder="1" applyAlignment="1">
      <x:alignment vertical="center"/>
    </x:xf>
    <x:xf numFmtId="0" fontId="0" fillId="6" borderId="0" xfId="0" applyNumberFormat="1" applyFont="1" applyFill="1" applyBorder="1"/>
    <x:xf numFmtId="0" fontId="10" fillId="6" borderId="0" xfId="0" applyNumberFormat="1" applyFont="1" applyFill="1" applyBorder="1"/>
    <x:xf numFmtId="0" fontId="10" fillId="6" borderId="0" xfId="0" applyNumberFormat="1" applyFont="1" applyFill="1" applyBorder="1" applyAlignment="1">
      <x:alignment vertical="center"/>
    </x:xf>
    <x:xf numFmtId="0" fontId="0" fillId="6" borderId="3" xfId="0" applyNumberFormat="1" applyFont="1" applyFill="1" applyBorder="1"/>
    <x:xf numFmtId="0" fontId="10" fillId="6" borderId="3" xfId="0" applyNumberFormat="1" applyFont="1" applyFill="1" applyBorder="1"/>
    <x:xf numFmtId="0" fontId="10" fillId="6" borderId="3" xfId="0" applyNumberFormat="1" applyFont="1" applyFill="1" applyBorder="1" applyAlignment="1">
      <x:alignment vertical="center"/>
    </x:xf>
    <x:xf numFmtId="0" fontId="0" fillId="7" borderId="0" xfId="0" applyNumberFormat="1" applyFont="1" applyFill="1" applyBorder="1"/>
    <x:xf numFmtId="0" fontId="6" fillId="7" borderId="0" xfId="0" applyNumberFormat="1" applyFont="1" applyFill="1" applyBorder="1"/>
    <x:xf numFmtId="0" fontId="6" fillId="7" borderId="0" xfId="0" applyNumberFormat="1" applyFont="1" applyFill="1" applyBorder="1" applyAlignment="1">
      <x:alignment wrapText="1"/>
    </x:xf>
    <x:xf numFmtId="0" fontId="6" fillId="7" borderId="0" xfId="0" applyNumberFormat="1" applyFont="1" applyFill="1" applyBorder="1" applyAlignment="1">
      <x:alignment horizontal="center" wrapText="1"/>
    </x:xf>
    <x:xf numFmtId="0" fontId="6" fillId="7" borderId="0" xfId="0" applyNumberFormat="1" applyFont="1" applyFill="1" applyBorder="1" applyAlignment="1">
      <x:alignment horizontal="center" vertical="center" wrapText="1"/>
    </x:xf>
    <x:xf numFmtId="0" fontId="0" fillId="7" borderId="3" xfId="0" applyNumberFormat="1" applyFont="1" applyFill="1" applyBorder="1"/>
    <x:xf numFmtId="0" fontId="6" fillId="7" borderId="3" xfId="0" applyNumberFormat="1" applyFont="1" applyFill="1" applyBorder="1"/>
    <x:xf numFmtId="0" fontId="6" fillId="7" borderId="3" xfId="0" applyNumberFormat="1" applyFont="1" applyFill="1" applyBorder="1" applyAlignment="1">
      <x:alignment wrapText="1"/>
    </x:xf>
    <x:xf numFmtId="0" fontId="6" fillId="7" borderId="3" xfId="0" applyNumberFormat="1" applyFont="1" applyFill="1" applyBorder="1" applyAlignment="1">
      <x:alignment horizontal="center" wrapText="1"/>
    </x:xf>
    <x:xf numFmtId="0" fontId="6" fillId="7" borderId="3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0" fillId="0" borderId="0" xfId="0" applyNumberFormat="1" applyFont="1" applyFill="1" applyBorder="1" applyAlignment="1">
      <x:alignment wrapText="1"/>
    </x:xf>
    <x:xf numFmtId="200" fontId="0" fillId="0" borderId="3" xfId="0" applyNumberFormat="1" applyFont="1" applyFill="1" applyBorder="1" applyAlignment="1">
      <x:alignment wrapText="1"/>
    </x:xf>
    <x:xf numFmtId="0" fontId="10" fillId="6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6">
    <x:dxf>
      <x:fill>
        <x:patternFill patternType="solid">
          <x:bgColor rgb="FFE2F0D9"/>
        </x:patternFill>
      </x:fill>
    </x:dxf>
    <x:dxf>
      <x:fill>
        <x:patternFill patternType="solid">
          <x:bgColor rgb="FFFCE4D6"/>
        </x:patternFill>
      </x:fill>
    </x:dxf>
    <x:dxf>
      <x:font>
        <x:color rgb="FF7F7F7F"/>
      </x:font>
      <x:fill>
        <x:patternFill patternType="solid">
          <x:bgColor rgb="FFE7E6E6"/>
        </x:patternFill>
      </x:fill>
    </x:dxf>
    <x:dxf>
      <x:fill>
        <x:patternFill patternType="solid">
          <x:bgColor rgb="FFE2F0D9"/>
        </x:patternFill>
      </x:fill>
    </x:dxf>
    <x:dxf>
      <x:fill>
        <x:patternFill patternType="solid">
          <x:bgColor rgb="FFFCE4D6"/>
        </x:patternFill>
      </x:fill>
    </x:dxf>
    <x:dxf>
      <x:font>
        <x:color rgb="FF7F7F7F"/>
      </x:font>
      <x:fill>
        <x:patternFill patternType="solid">
          <x:bgColor rgb="FFE7E6E6"/>
        </x:patternFill>
      </x:fill>
    </x:dxf>
  </x:dxf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cf0edbde754409a" /><Relationship Type="http://schemas.openxmlformats.org/officeDocument/2006/relationships/theme" Target="/xl/theme/theme1.xml" Id="R79ee26cfcd9e4540" /><Relationship Type="http://schemas.microsoft.com/office/2022/11/relationships/FeaturePropertyBag" Target="/xl/featurePropertyBag/featurePropertyBag.xml" Id="R8dc85ac5685948a1" /><Relationship Type="http://schemas.openxmlformats.org/officeDocument/2006/relationships/sharedStrings" Target="/xl/sharedStrings.xml" Id="R9f233407376d458b" /><Relationship Type="http://schemas.openxmlformats.org/officeDocument/2006/relationships/worksheet" Target="/xl/worksheets/sheet1.xml" Id="R32c74fdd4e624b2c" /><Relationship Type="http://schemas.openxmlformats.org/officeDocument/2006/relationships/worksheet" Target="/xl/worksheets/sheet2.xml" Id="Rea99f4a9ab514c6a" /><Relationship Type="http://schemas.openxmlformats.org/officeDocument/2006/relationships/worksheet" Target="/xl/worksheets/sheet3.xml" Id="Rfd117aaba3bb49c2" /><Relationship Type="http://schemas.openxmlformats.org/officeDocument/2006/relationships/worksheet" Target="/xl/worksheets/sheet4.xml" Id="R77efe5dfef89473d" /><Relationship Type="http://schemas.openxmlformats.org/officeDocument/2006/relationships/worksheet" Target="/xl/worksheets/sheet5.xml" Id="R1e551af97b334d17" /><Relationship Type="http://schemas.openxmlformats.org/officeDocument/2006/relationships/worksheet" Target="/xl/worksheets/sheet6.xml" Id="R29dbcaccf7b64c4e" /><Relationship Type="http://schemas.openxmlformats.org/officeDocument/2006/relationships/worksheet" Target="/xl/worksheets/sheet7.xml" Id="R0caff4a58ee34b6d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OrganismsTable" displayName="OrganismsTable" ref="A1:I25" headerRowCount="1" totalsRowCount="0" totalsRowShown="0">
  <x:tableColumns count="9">
    <x:tableColumn id="1" name="organism_id"/>
    <x:tableColumn id="2" name="organism_name"/>
    <x:tableColumn id="3" name="gram_stain"/>
    <x:tableColumn id="4" name="morphology"/>
    <x:tableColumn id="5" name="arrangement"/>
    <x:tableColumn id="6" name="active"/>
    <x:tableColumn id="7" name="question_count"/>
    <x:tableColumn id="8" name="game_status"/>
    <x:tableColumn id="9" name="no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SwipeQuestionsTable" displayName="SwipeQuestionsTable" ref="A1:N239" headerRowCount="1" totalsRowCount="0" totalsRowShown="0">
  <x:tableColumns count="14">
    <x:tableColumn id="1" name="question_id"/>
    <x:tableColumn id="2" name="organism_id"/>
    <x:tableColumn id="3" name="organism_name"/>
    <x:tableColumn id="4" name="category"/>
    <x:tableColumn id="5" name="prompt"/>
    <x:tableColumn id="6" name="correct_answer"/>
    <x:tableColumn id="7" name="explanation"/>
    <x:tableColumn id="8" name="difficulty"/>
    <x:tableColumn id="9" name="high_yield"/>
    <x:tableColumn id="10" name="source"/>
    <x:tableColumn id="11" name="source_slide"/>
    <x:tableColumn id="12" name="active"/>
    <x:tableColumn id="13" name="notes"/>
    <x:tableColumn id="14" name="date_added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SourcesTable" displayName="SourcesTable" ref="A1:G2" headerRowCount="1" totalsRowCount="0" totalsRowShown="0">
  <x:tableColumns count="7">
    <x:tableColumn id="1" name="source_id"/>
    <x:tableColumn id="2" name="source_name"/>
    <x:tableColumn id="3" name="source_type"/>
    <x:tableColumn id="4" name="course/module"/>
    <x:tableColumn id="5" name="file_or_link"/>
    <x:tableColumn id="6" name="notes"/>
    <x:tableColumn id="7" name="activ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AppSettingsTable" displayName="AppSettingsTable" ref="A1:C11" headerRowCount="1" totalsRowCount="0" totalsRowShown="0">
  <x:tableColumns count="3">
    <x:tableColumn id="1" name="setting"/>
    <x:tableColumn id="2" name="value"/>
    <x:tableColumn id="3" name="descripti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1.xml" Id="R6ecd6d88242d410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2.xml" Id="R3d3afa1d47b7425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3.xml" Id="R90e5b4ac2eb744cd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4.xml" Id="Re99582398ce849fa" /></Relationships>
</file>

<file path=xl/worksheets/sheet1.xml><?xml version="1.0" encoding="utf-8"?>
<x:worksheet xmlns:x="http://schemas.openxmlformats.org/spreadsheetml/2006/main">
  <x:sheetViews>
    <x:sheetView showGridLines="1" workbookViewId="0"/>
  </x:sheetViews>
  <x:sheetFormatPr baseColWidth="8" defaultRowHeight="15"/>
  <x:cols>
    <x:col min="1" max="1" width="25" customWidth="1"/>
    <x:col min="2" max="2" width="65" customWidth="1"/>
  </x:cols>
  <x:sheetData>
    <x:row r="1">
      <x:c r="A1" s="1" t="inlineStr">
        <x:is>
          <x:t xml:space="preserve">Medical Microbiology Bacterial Database</x:t>
        </x:is>
      </x:c>
    </x:row>
    <x:row r="2">
      <x:c r="A2" s="2" t="inlineStr">
        <x:is>
          <x:t xml:space="preserve">Course Context: Bacterial Morphology &amp; Physiology Cantres 2026</x:t>
        </x:is>
      </x:c>
    </x:row>
    <x:row r="4">
      <x:c r="A4" s="3" t="inlineStr">
        <x:is>
          <x:t xml:space="preserve">Overview</x:t>
        </x:is>
      </x:c>
    </x:row>
    <x:row r="5">
      <x:c r="A5" s="4" t="inlineStr">
        <x:is>
          <x:t xml:space="preserve">This database compiles key microbiological, biochemical, virulence, clinical, and diagnostic features for 24 high-yield bacterial pathogens covered in your medical microbiology course modules.</x:t>
        </x:is>
      </x:c>
    </x:row>
    <x:row r="7">
      <x:c r="A7" s="3" t="inlineStr">
        <x:is>
          <x:t xml:space="preserve">Color &amp; Formatting Key</x:t>
        </x:is>
      </x:c>
    </x:row>
    <x:row r="8">
      <x:c r="A8" s="5" t="inlineStr">
        <x:is>
          <x:t xml:space="preserve">Gram-Positive Organisms</x:t>
        </x:is>
      </x:c>
      <x:c r="B8" s="4" t="inlineStr">
        <x:is>
          <x:t xml:space="preserve">Gram-positive cocci and rods</x:t>
        </x:is>
      </x:c>
    </x:row>
    <x:row r="9">
      <x:c r="A9" s="5" t="inlineStr">
        <x:is>
          <x:t xml:space="preserve">Gram-Negative Organisms</x:t>
        </x:is>
      </x:c>
      <x:c r="B9" s="4" t="inlineStr">
        <x:is>
          <x:t xml:space="preserve">Gram-negative cocci, curved rods, and bacilli</x:t>
        </x:is>
      </x:c>
    </x:row>
    <x:row r="10">
      <x:c r="A10" s="5" t="inlineStr">
        <x:is>
          <x:t xml:space="preserve">Header Row</x:t>
        </x:is>
      </x:c>
      <x:c r="B10" s="4" t="inlineStr">
        <x:is>
          <x:t xml:space="preserve">Standard column headers</x:t>
        </x:is>
      </x:c>
    </x:row>
    <x:row r="11">
      <x:c r="A11" s="5" t="inlineStr">
        <x:is>
          <x:t xml:space="preserve">Auto-Filter &amp; Freeze Panes</x:t>
        </x:is>
      </x:c>
      <x:c r="B11" s="4" t="inlineStr">
        <x:is>
          <x:t xml:space="preserve">Top row frozen for seamless scrolling and filtering</x:t>
        </x:is>
      </x:c>
    </x:row>
    <x:row r="14">
      <x:c r="A14" s="3" t="inlineStr">
        <x:is>
          <x:t xml:space="preserve">Database Navigation</x:t>
        </x:is>
      </x:c>
    </x:row>
    <x:row r="15">
      <x:c r="A15" s="4" t="inlineStr">
        <x:is>
          <x:t xml:space="preserve">Switch to the 'Bacterial Database' tab to view, search, and filter the complete 21-feature comparison table.</x:t>
        </x:is>
      </x:c>
    </x:row>
    <x:row r="17">
      <x:c r="A17" s="56" t="str">
        <x:v>App-ready structure added: use Organisms + Swipe Questions for the game; keep Bacterial Database as the detailed reference table.</x:v>
      </x:c>
      <x:c r="B17" s="56"/>
    </x:row>
  </x:sheetData>
  <x:mergeCells>
    <x:mergeCell ref="A17:B17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1" workbookViewId="0"/>
  </x:sheetViews>
  <x:sheetFormatPr baseColWidth="8" defaultRowHeight="15"/>
  <x:cols>
    <x:col min="1" max="1" width="28" customWidth="1"/>
    <x:col min="2" max="2" width="18" customWidth="1"/>
    <x:col min="3" max="3" width="18" customWidth="1"/>
    <x:col min="4" max="4" width="20" customWidth="1"/>
    <x:col min="5" max="5" width="14" customWidth="1"/>
    <x:col min="6" max="6" width="14" customWidth="1"/>
    <x:col min="7" max="7" width="14" customWidth="1"/>
    <x:col min="8" max="8" width="18" customWidth="1"/>
    <x:col min="9" max="9" width="16" customWidth="1"/>
    <x:col min="10" max="10" width="15" customWidth="1"/>
    <x:col min="11" max="11" width="20" customWidth="1"/>
    <x:col min="12" max="12" width="35" customWidth="1"/>
    <x:col min="13" max="13" width="25" customWidth="1"/>
    <x:col min="14" max="14" width="45" customWidth="1"/>
    <x:col min="15" max="15" width="45" customWidth="1"/>
    <x:col min="16" max="16" width="35" customWidth="1"/>
    <x:col min="17" max="17" width="30" customWidth="1"/>
    <x:col min="18" max="18" width="45" customWidth="1"/>
    <x:col min="19" max="19" width="35" customWidth="1"/>
    <x:col min="20" max="20" width="35" customWidth="1"/>
    <x:col min="21" max="21" width="40" customWidth="1"/>
  </x:cols>
  <x:sheetData>
    <x:row r="1">
      <x:c r="A1" s="6" t="inlineStr">
        <x:is>
          <x:t xml:space="preserve">Organism Name</x:t>
        </x:is>
      </x:c>
      <x:c r="B1" s="6" t="inlineStr">
        <x:is>
          <x:t xml:space="preserve">Gram Stain</x:t>
        </x:is>
      </x:c>
      <x:c r="C1" s="6" t="inlineStr">
        <x:is>
          <x:t xml:space="preserve">Morphology</x:t>
        </x:is>
      </x:c>
      <x:c r="D1" s="6" t="inlineStr">
        <x:is>
          <x:t xml:space="preserve">Arrangement</x:t>
        </x:is>
      </x:c>
      <x:c r="E1" s="6" t="inlineStr">
        <x:is>
          <x:t xml:space="preserve">Catalase</x:t>
        </x:is>
      </x:c>
      <x:c r="F1" s="6" t="inlineStr">
        <x:is>
          <x:t xml:space="preserve">Oxidase</x:t>
        </x:is>
      </x:c>
      <x:c r="G1" s="6" t="inlineStr">
        <x:is>
          <x:t xml:space="preserve">Coagulase</x:t>
        </x:is>
      </x:c>
      <x:c r="H1" s="6" t="inlineStr">
        <x:is>
          <x:t xml:space="preserve">Hemolysis</x:t>
        </x:is>
      </x:c>
      <x:c r="I1" s="6" t="inlineStr">
        <x:is>
          <x:t xml:space="preserve">Motility</x:t>
        </x:is>
      </x:c>
      <x:c r="J1" s="6" t="inlineStr">
        <x:is>
          <x:t xml:space="preserve">Spore-Forming</x:t>
        </x:is>
      </x:c>
      <x:c r="K1" s="6" t="inlineStr">
        <x:is>
          <x:t xml:space="preserve">Oxygen Requirement</x:t>
        </x:is>
      </x:c>
      <x:c r="L1" s="6" t="inlineStr">
        <x:is>
          <x:t xml:space="preserve">Key Biochemical / Fermentation Tests</x:t>
        </x:is>
      </x:c>
      <x:c r="M1" s="6" t="inlineStr">
        <x:is>
          <x:t xml:space="preserve">Capsule</x:t>
        </x:is>
      </x:c>
      <x:c r="N1" s="6" t="inlineStr">
        <x:is>
          <x:t xml:space="preserve">Major Virulence Factors &amp; Toxins</x:t>
        </x:is>
      </x:c>
      <x:c r="O1" s="6" t="inlineStr">
        <x:is>
          <x:t xml:space="preserve">Main Diseases</x:t>
        </x:is>
      </x:c>
      <x:c r="P1" s="6" t="inlineStr">
        <x:is>
          <x:t xml:space="preserve">Typical Patient / Risk Population</x:t>
        </x:is>
      </x:c>
      <x:c r="Q1" s="6" t="inlineStr">
        <x:is>
          <x:t xml:space="preserve">Transmission &amp; Reservoir</x:t>
        </x:is>
      </x:c>
      <x:c r="R1" s="6" t="inlineStr">
        <x:is>
          <x:t xml:space="preserve">Important Clinical Clues</x:t>
        </x:is>
      </x:c>
      <x:c r="S1" s="6" t="inlineStr">
        <x:is>
          <x:t xml:space="preserve">Standard Treatment</x:t>
        </x:is>
      </x:c>
      <x:c r="T1" s="6" t="inlineStr">
        <x:is>
          <x:t xml:space="preserve">Resistance Mechanisms</x:t>
        </x:is>
      </x:c>
      <x:c r="U1" s="6" t="inlineStr">
        <x:is>
          <x:t xml:space="preserve">Distinguishing / High-Yield Feature</x:t>
        </x:is>
      </x:c>
    </x:row>
    <x:row r="2">
      <x:c r="A2" s="7" t="inlineStr">
        <x:is>
          <x:t xml:space="preserve">Staphylococcus aureus</x:t>
        </x:is>
      </x:c>
      <x:c r="B2" s="8" t="inlineStr">
        <x:is>
          <x:t xml:space="preserve">Gram-Positive (+)</x:t>
        </x:is>
      </x:c>
      <x:c r="C2" s="8" t="inlineStr">
        <x:is>
          <x:t xml:space="preserve">Coccus</x:t>
        </x:is>
      </x:c>
      <x:c r="D2" s="9" t="inlineStr">
        <x:is>
          <x:t xml:space="preserve">Grape-like clusters</x:t>
        </x:is>
      </x:c>
      <x:c r="E2" s="8" t="inlineStr">
        <x:is>
          <x:t xml:space="preserve">Positive (+)</x:t>
        </x:is>
      </x:c>
      <x:c r="F2" s="8" t="inlineStr">
        <x:is>
          <x:t xml:space="preserve">Negative (-)</x:t>
        </x:is>
      </x:c>
      <x:c r="G2" s="8" t="inlineStr">
        <x:is>
          <x:t xml:space="preserve">Positive (+)</x:t>
        </x:is>
      </x:c>
      <x:c r="H2" s="8" t="inlineStr">
        <x:is>
          <x:t xml:space="preserve">Beta (β)</x:t>
        </x:is>
      </x:c>
      <x:c r="I2" s="8" t="inlineStr">
        <x:is>
          <x:t xml:space="preserve">Non-motile</x:t>
        </x:is>
      </x:c>
      <x:c r="J2" s="8" t="inlineStr">
        <x:is>
          <x:t xml:space="preserve">No</x:t>
        </x:is>
      </x:c>
      <x:c r="K2" s="8" t="inlineStr">
        <x:is>
          <x:t xml:space="preserve">Facultative Anaerobe</x:t>
        </x:is>
      </x:c>
      <x:c r="L2" s="9" t="inlineStr">
        <x:is>
          <x:t xml:space="preserve">Mannitol fermenter (yellow on MSA), DNase (+), Gelatinase (+)</x:t>
        </x:is>
      </x:c>
      <x:c r="M2" s="9" t="inlineStr">
        <x:is>
          <x:t xml:space="preserve">Polysaccharide microcapsule</x:t>
        </x:is>
      </x:c>
      <x:c r="N2" s="9" t="inlineStr">
        <x:is>
          <x:t xml:space="preserve">Protein A (binds Fc of IgG), Exfoliatin (SSSS), TSST-1 (superantigen), Enterotoxins (heat-stable), Alpha toxin/hemolysins, PV Leukocidin, Coagulase, Hyaluronidase</x:t>
        </x:is>
      </x:c>
      <x:c r="O2" s="9" t="inlineStr">
        <x:is>
          <x:t xml:space="preserve">Folliculitis, furuncles, carbuncles, abscesses, impetigo, SSSS, TSS, food poisoning, acute endocarditis, osteomyelitis, nosocomial/community pneumonia</x:t>
        </x:is>
      </x:c>
      <x:c r="P2" s="9" t="inlineStr">
        <x:is>
          <x:t xml:space="preserve">Nasal carriers (20-50% adults, ~70% healthcare staff), hospitalized patients, IV drug users</x:t>
        </x:is>
      </x:c>
      <x:c r="Q2" s="9" t="inlineStr">
        <x:is>
          <x:t xml:space="preserve">Direct contact, unwashed hands, fomites, contaminated food</x:t>
        </x:is>
      </x:c>
      <x:c r="R2" s="9" t="inlineStr">
        <x:is>
          <x:t xml:space="preserve">Golden/creamy colonies; pus-forming (suppurative) tissue destruction; rapid vomiting after mayonnaise/meat ingestion; bullous skin peeling like 3rd degree burns</x:t>
        </x:is>
      </x:c>
      <x:c r="S2" s="9" t="inlineStr">
        <x:is>
          <x:t xml:space="preserve">Nafcillin/Oxacillin (MSSA); Vancomycin or Daptomycin (MRSA)</x:t>
        </x:is>
      </x:c>
      <x:c r="T2" s="9" t="inlineStr">
        <x:is>
          <x:t xml:space="preserve">MRSA via mecA gene encoding PBP2a (altered penicillin-binding protein); plasmid-mediated beta-lactamase</x:t>
        </x:is>
      </x:c>
      <x:c r="U2" s="7" t="inlineStr">
        <x:is>
          <x:t xml:space="preserve">Catalase (+), Coagulase (+), Golden colonies, Protein A binds Fc of IgG, pathogenicity island toxins</x:t>
        </x:is>
      </x:c>
    </x:row>
    <x:row r="3">
      <x:c r="A3" s="7" t="inlineStr">
        <x:is>
          <x:t xml:space="preserve">Staphylococcus epidermidis</x:t>
        </x:is>
      </x:c>
      <x:c r="B3" s="8" t="inlineStr">
        <x:is>
          <x:t xml:space="preserve">Gram-Positive (+)</x:t>
        </x:is>
      </x:c>
      <x:c r="C3" s="8" t="inlineStr">
        <x:is>
          <x:t xml:space="preserve">Coccus</x:t>
        </x:is>
      </x:c>
      <x:c r="D3" s="9" t="inlineStr">
        <x:is>
          <x:t xml:space="preserve">Clusters</x:t>
        </x:is>
      </x:c>
      <x:c r="E3" s="8" t="inlineStr">
        <x:is>
          <x:t xml:space="preserve">Positive (+)</x:t>
        </x:is>
      </x:c>
      <x:c r="F3" s="8" t="inlineStr">
        <x:is>
          <x:t xml:space="preserve">Negative (-)</x:t>
        </x:is>
      </x:c>
      <x:c r="G3" s="8" t="inlineStr">
        <x:is>
          <x:t xml:space="preserve">Negative (-)</x:t>
        </x:is>
      </x:c>
      <x:c r="H3" s="8" t="inlineStr">
        <x:is>
          <x:t xml:space="preserve">Gamma (γ) / Non-hemolytic</x:t>
        </x:is>
      </x:c>
      <x:c r="I3" s="8" t="inlineStr">
        <x:is>
          <x:t xml:space="preserve">Non-motile</x:t>
        </x:is>
      </x:c>
      <x:c r="J3" s="8" t="inlineStr">
        <x:is>
          <x:t xml:space="preserve">No</x:t>
        </x:is>
      </x:c>
      <x:c r="K3" s="8" t="inlineStr">
        <x:is>
          <x:t xml:space="preserve">Facultative Anaerobe</x:t>
        </x:is>
      </x:c>
      <x:c r="L3" s="9" t="inlineStr">
        <x:is>
          <x:t xml:space="preserve">Novobiocin sensitive, Urease (+)</x:t>
        </x:is>
      </x:c>
      <x:c r="M3" s="9" t="inlineStr">
        <x:is>
          <x:t xml:space="preserve">Polysaccharide slime layer (Biofilm)</x:t>
        </x:is>
      </x:c>
      <x:c r="N3" s="9" t="inlineStr">
        <x:is>
          <x:t xml:space="preserve">Biofilm / Exopolysaccharide slime layer (adheres to prosthetic devices, catheters, and artificial valves)</x:t>
        </x:is>
      </x:c>
      <x:c r="O3" s="9" t="inlineStr">
        <x:is>
          <x:t xml:space="preserve">Prosthetic valve endocarditis, intravascular catheter/line infections, CSF shunt infections, nosocomial bacteremia</x:t>
        </x:is>
      </x:c>
      <x:c r="P3" s="9" t="inlineStr">
        <x:is>
          <x:t xml:space="preserve">Hospitalized patients with indwelling medical devices, intravenous lines, or artificial implants</x:t>
        </x:is>
      </x:c>
      <x:c r="Q3" s="9" t="inlineStr">
        <x:is>
          <x:t xml:space="preserve">Normal skin flora introduced during invasive procedures or line placement</x:t>
        </x:is>
      </x:c>
      <x:c r="R3" s="9" t="inlineStr">
        <x:is>
          <x:t xml:space="preserve">Indolent, low-grade infection in patient with intravenous catheter or prosthetic joint; Novobiocin sensitive; CoNS</x:t>
        </x:is>
      </x:c>
      <x:c r="S3" s="9" t="inlineStr">
        <x:is>
          <x:t xml:space="preserve">Vancomycin (frequently resistant to methicillin/oxacillin)</x:t>
        </x:is>
      </x:c>
      <x:c r="T3" s="9" t="inlineStr">
        <x:is>
          <x:t xml:space="preserve">High prevalence of methicillin resistance (MRSE) via mecA gene</x:t>
        </x:is>
      </x:c>
      <x:c r="U3" s="7" t="inlineStr">
        <x:is>
          <x:t xml:space="preserve">Coagulase-negative, Novobiocin sensitive, major biofilm producer on catheters and implants</x:t>
        </x:is>
      </x:c>
    </x:row>
    <x:row r="4">
      <x:c r="A4" s="7" t="inlineStr">
        <x:is>
          <x:t xml:space="preserve">Staphylococcus saprophyticus</x:t>
        </x:is>
      </x:c>
      <x:c r="B4" s="8" t="inlineStr">
        <x:is>
          <x:t xml:space="preserve">Gram-Positive (+)</x:t>
        </x:is>
      </x:c>
      <x:c r="C4" s="8" t="inlineStr">
        <x:is>
          <x:t xml:space="preserve">Coccus</x:t>
        </x:is>
      </x:c>
      <x:c r="D4" s="9" t="inlineStr">
        <x:is>
          <x:t xml:space="preserve">Clusters</x:t>
        </x:is>
      </x:c>
      <x:c r="E4" s="8" t="inlineStr">
        <x:is>
          <x:t xml:space="preserve">Positive (+)</x:t>
        </x:is>
      </x:c>
      <x:c r="F4" s="8" t="inlineStr">
        <x:is>
          <x:t xml:space="preserve">Negative (-)</x:t>
        </x:is>
      </x:c>
      <x:c r="G4" s="8" t="inlineStr">
        <x:is>
          <x:t xml:space="preserve">Negative (-)</x:t>
        </x:is>
      </x:c>
      <x:c r="H4" s="8" t="inlineStr">
        <x:is>
          <x:t xml:space="preserve">Gamma (γ) / Non-hemolytic</x:t>
        </x:is>
      </x:c>
      <x:c r="I4" s="8" t="inlineStr">
        <x:is>
          <x:t xml:space="preserve">Non-motile</x:t>
        </x:is>
      </x:c>
      <x:c r="J4" s="8" t="inlineStr">
        <x:is>
          <x:t xml:space="preserve">No</x:t>
        </x:is>
      </x:c>
      <x:c r="K4" s="8" t="inlineStr">
        <x:is>
          <x:t xml:space="preserve">Facultative Anaerobe</x:t>
        </x:is>
      </x:c>
      <x:c r="L4" s="9" t="inlineStr">
        <x:is>
          <x:t xml:space="preserve">Novobiocin resistant, Urease (+)</x:t>
        </x:is>
      </x:c>
      <x:c r="M4" s="9" t="inlineStr">
        <x:is>
          <x:t xml:space="preserve">None prominent</x:t>
        </x:is>
      </x:c>
      <x:c r="N4" s="9" t="inlineStr">
        <x:is>
          <x:t xml:space="preserve">Urease, specialized adhesins for uroepithelium</x:t>
        </x:is>
      </x:c>
      <x:c r="O4" s="9" t="inlineStr">
        <x:is>
          <x:t xml:space="preserve">Urinary Tract Infections (UTI / Cystitis, dysuria)</x:t>
        </x:is>
      </x:c>
      <x:c r="P4" s="9" t="inlineStr">
        <x:is>
          <x:t xml:space="preserve">Young, sexually active females (second most common cause of community-acquired UTI after E. coli)</x:t>
        </x:is>
      </x:c>
      <x:c r="Q4" s="9" t="inlineStr">
        <x:is>
          <x:t xml:space="preserve">Normal flora of the female genital tract and perineum</x:t>
        </x:is>
      </x:c>
      <x:c r="R4" s="9" t="inlineStr">
        <x:is>
          <x:t xml:space="preserve">Dysuria, urinary urgency, and frequency in a young sexually active woman; Gram-positive cocci in clusters; Novobiocin resistant</x:t>
        </x:is>
      </x:c>
      <x:c r="S4" s="9" t="inlineStr">
        <x:is>
          <x:t xml:space="preserve">TMP-SMX, Fluoroquinolones, or Nitrofurantoin</x:t>
        </x:is>
      </x:c>
      <x:c r="T4" s="9" t="inlineStr">
        <x:is>
          <x:t xml:space="preserve">Naturally resistant to Novobiocin</x:t>
        </x:is>
      </x:c>
      <x:c r="U4" s="7" t="inlineStr">
        <x:is>
          <x:t xml:space="preserve">Coagulase-negative, Novobiocin resistant, primary UTI pathogen in young sexually active females</x:t>
        </x:is>
      </x:c>
    </x:row>
    <x:row r="5">
      <x:c r="A5" s="7" t="inlineStr">
        <x:is>
          <x:t xml:space="preserve">Streptococcus pyogenes (GAS)</x:t>
        </x:is>
      </x:c>
      <x:c r="B5" s="8" t="inlineStr">
        <x:is>
          <x:t xml:space="preserve">Gram-Positive (+)</x:t>
        </x:is>
      </x:c>
      <x:c r="C5" s="8" t="inlineStr">
        <x:is>
          <x:t xml:space="preserve">Coccus</x:t>
        </x:is>
      </x:c>
      <x:c r="D5" s="9" t="inlineStr">
        <x:is>
          <x:t xml:space="preserve">Chains or pairs</x:t>
        </x:is>
      </x:c>
      <x:c r="E5" s="8" t="inlineStr">
        <x:is>
          <x:t xml:space="preserve">Negative (-)</x:t>
        </x:is>
      </x:c>
      <x:c r="F5" s="8" t="inlineStr">
        <x:is>
          <x:t xml:space="preserve">Negative (-)</x:t>
        </x:is>
      </x:c>
      <x:c r="G5" s="8" t="inlineStr">
        <x:is>
          <x:t xml:space="preserve">N/A</x:t>
        </x:is>
      </x:c>
      <x:c r="H5" s="8" t="inlineStr">
        <x:is>
          <x:t xml:space="preserve">Beta (β)</x:t>
        </x:is>
      </x:c>
      <x:c r="I5" s="8" t="inlineStr">
        <x:is>
          <x:t xml:space="preserve">Non-motile</x:t>
        </x:is>
      </x:c>
      <x:c r="J5" s="8" t="inlineStr">
        <x:is>
          <x:t xml:space="preserve">No</x:t>
        </x:is>
      </x:c>
      <x:c r="K5" s="8" t="inlineStr">
        <x:is>
          <x:t xml:space="preserve">Facultative Anaerobe</x:t>
        </x:is>
      </x:c>
      <x:c r="L5" s="9" t="inlineStr">
        <x:is>
          <x:t xml:space="preserve">Bacitracin sensitive (+), PYR positive (+), Lancefield Group A C-carbohydrate</x:t>
        </x:is>
      </x:c>
      <x:c r="M5" s="9" t="inlineStr">
        <x:is>
          <x:t xml:space="preserve">Hyaluronic acid capsule (antiphagocytic, non-immunogenic)</x:t>
        </x:is>
      </x:c>
      <x:c r="N5" s="9" t="inlineStr">
        <x:is>
          <x:t xml:space="preserve">M protein (inhibits complement/phagocytosis), Streptolysin O &amp; S (hemolysins), Pyrogenic exotoxins / Erythrogenic toxin (Scarlet fever/STSS superantigens), Streptokinase, Hyaluronidase, Exotoxin B (protease)</x:t>
        </x:is>
      </x:c>
      <x:c r="O5" s="9" t="inlineStr">
        <x:is>
          <x:t xml:space="preserve">Pharyngitis (strep throat), Scarlet fever, Impetigo, Erysipelas, Cellulitis, Necrotizing fasciitis, STSS. Post-streptococcal sequelae: Rheumatic fever, Acute Glomerulonephritis</x:t>
        </x:is>
      </x:c>
      <x:c r="P5" s="9" t="inlineStr">
        <x:is>
          <x:t xml:space="preserve">Children (5–15 years for pharyngitis), patients with skin breakdown or surgical wounds</x:t>
        </x:is>
      </x:c>
      <x:c r="Q5" s="9" t="inlineStr">
        <x:is>
          <x:t xml:space="preserve">Respiratory droplets, direct skin contact, fomites</x:t>
        </x:is>
      </x:c>
      <x:c r="R5" s="9" t="inlineStr">
        <x:is>
          <x:t xml:space="preserve">Tonsillar exudate + fever + strawberry tongue + fine sandpaper rash (Scarlet fever); severe pain out of proportion to exam (Necrotizing fasciitis); post-infection autoimmune sequelae</x:t>
        </x:is>
      </x:c>
      <x:c r="S5" s="9" t="inlineStr">
        <x:is>
          <x:t xml:space="preserve">Penicillin G or Amoxicillin; Macrolides if penicillin-allergic</x:t>
        </x:is>
      </x:c>
      <x:c r="T5" s="9" t="inlineStr">
        <x:is>
          <x:t xml:space="preserve">Highly susceptible to Penicillin (no natural penicillin resistance reported)</x:t>
        </x:is>
      </x:c>
      <x:c r="U5" s="7" t="inlineStr">
        <x:is>
          <x:t xml:space="preserve">Bacitracin sensitive, PYR (+), Hyaluronic acid capsule, triggers Rheumatic Fever and Glomerulonephritis</x:t>
        </x:is>
      </x:c>
    </x:row>
    <x:row r="6">
      <x:c r="A6" s="7" t="inlineStr">
        <x:is>
          <x:t xml:space="preserve">Streptococcus agalactiae (GBS)</x:t>
        </x:is>
      </x:c>
      <x:c r="B6" s="8" t="inlineStr">
        <x:is>
          <x:t xml:space="preserve">Gram-Positive (+)</x:t>
        </x:is>
      </x:c>
      <x:c r="C6" s="8" t="inlineStr">
        <x:is>
          <x:t xml:space="preserve">Coccus</x:t>
        </x:is>
      </x:c>
      <x:c r="D6" s="9" t="inlineStr">
        <x:is>
          <x:t xml:space="preserve">Chains or pairs</x:t>
        </x:is>
      </x:c>
      <x:c r="E6" s="8" t="inlineStr">
        <x:is>
          <x:t xml:space="preserve">Negative (-)</x:t>
        </x:is>
      </x:c>
      <x:c r="F6" s="8" t="inlineStr">
        <x:is>
          <x:t xml:space="preserve">Negative (-)</x:t>
        </x:is>
      </x:c>
      <x:c r="G6" s="8" t="inlineStr">
        <x:is>
          <x:t xml:space="preserve">N/A</x:t>
        </x:is>
      </x:c>
      <x:c r="H6" s="8" t="inlineStr">
        <x:is>
          <x:t xml:space="preserve">Beta (β) (narrow zone)</x:t>
        </x:is>
      </x:c>
      <x:c r="I6" s="8" t="inlineStr">
        <x:is>
          <x:t xml:space="preserve">Non-motile</x:t>
        </x:is>
      </x:c>
      <x:c r="J6" s="8" t="inlineStr">
        <x:is>
          <x:t xml:space="preserve">No</x:t>
        </x:is>
      </x:c>
      <x:c r="K6" s="8" t="inlineStr">
        <x:is>
          <x:t xml:space="preserve">Facultative Anaerobe</x:t>
        </x:is>
      </x:c>
      <x:c r="L6" s="9" t="inlineStr">
        <x:is>
          <x:t xml:space="preserve">Bacitracin resistant (-), CAMP test positive (+), Hippurate hydrolysis positive (+), Lancefield Group B</x:t>
        </x:is>
      </x:c>
      <x:c r="M6" s="9" t="inlineStr">
        <x:is>
          <x:t xml:space="preserve">Polysaccharide capsule</x:t>
        </x:is>
      </x:c>
      <x:c r="N6" s="9" t="inlineStr">
        <x:is>
          <x:t xml:space="preserve">Polysaccharide capsule (prevents phagocytosis), pore-forming toxins, CAMP factor (enhances S. aureus beta-hemolysis)</x:t>
        </x:is>
      </x:c>
      <x:c r="O6" s="9" t="inlineStr">
        <x:is>
          <x:t xml:space="preserve">Neonatal sepsis, neonatal meningitis, neonatal pneumonia, maternal postpartum endometritis/wound infections</x:t>
        </x:is>
      </x:c>
      <x:c r="P6" s="9" t="inlineStr">
        <x:is>
          <x:t xml:space="preserve">Neonates (infected during passage through birth canal); pregnant women (10–30% vaginal/rectal colonization)</x:t>
        </x:is>
      </x:c>
      <x:c r="Q6" s="9" t="inlineStr">
        <x:is>
          <x:t xml:space="preserve">Vertical transmission from colonized mother during labor/delivery</x:t>
        </x:is>
      </x:c>
      <x:c r="R6" s="9" t="inlineStr">
        <x:is>
          <x:t xml:space="preserve">Leading cause of neonatal sepsis and meningitis; screening pregnant women at 35–37 weeks of pregnancy required; CAMP (+)</x:t>
        </x:is>
      </x:c>
      <x:c r="S6" s="9" t="inlineStr">
        <x:is>
          <x:t xml:space="preserve">Intrapartum Penicillin G or Ampicillin prophylaxis to colonized mothers during labor</x:t>
        </x:is>
      </x:c>
      <x:c r="T6" s="9" t="inlineStr">
        <x:is>
          <x:t xml:space="preserve">Generally penicillin susceptible; clindamycin resistance increasing</x:t>
        </x:is>
      </x:c>
      <x:c r="U6" s="7" t="inlineStr">
        <x:is>
          <x:t xml:space="preserve">CAMP test positive (+), Hippurate hydrolysis (+), Bacitracin resistant, #1 cause of neonatal meningitis</x:t>
        </x:is>
      </x:c>
    </x:row>
    <x:row r="7">
      <x:c r="A7" s="7" t="inlineStr">
        <x:is>
          <x:t xml:space="preserve">Streptococcus pneumoniae</x:t>
        </x:is>
      </x:c>
      <x:c r="B7" s="8" t="inlineStr">
        <x:is>
          <x:t xml:space="preserve">Gram-Positive (+)</x:t>
        </x:is>
      </x:c>
      <x:c r="C7" s="8" t="inlineStr">
        <x:is>
          <x:t xml:space="preserve">Lancet-shaped diplococcus</x:t>
        </x:is>
      </x:c>
      <x:c r="D7" s="9" t="inlineStr">
        <x:is>
          <x:t xml:space="preserve">Pairs or short chains</x:t>
        </x:is>
      </x:c>
      <x:c r="E7" s="8" t="inlineStr">
        <x:is>
          <x:t xml:space="preserve">Negative (-)</x:t>
        </x:is>
      </x:c>
      <x:c r="F7" s="8" t="inlineStr">
        <x:is>
          <x:t xml:space="preserve">Negative (-)</x:t>
        </x:is>
      </x:c>
      <x:c r="G7" s="8" t="inlineStr">
        <x:is>
          <x:t xml:space="preserve">N/A</x:t>
        </x:is>
      </x:c>
      <x:c r="H7" s="8" t="inlineStr">
        <x:is>
          <x:t xml:space="preserve">Alpha (α)</x:t>
        </x:is>
      </x:c>
      <x:c r="I7" s="8" t="inlineStr">
        <x:is>
          <x:t xml:space="preserve">Non-motile</x:t>
        </x:is>
      </x:c>
      <x:c r="J7" s="8" t="inlineStr">
        <x:is>
          <x:t xml:space="preserve">No</x:t>
        </x:is>
      </x:c>
      <x:c r="K7" s="8" t="inlineStr">
        <x:is>
          <x:t xml:space="preserve">Facultative Anaerobe</x:t>
        </x:is>
      </x:c>
      <x:c r="L7" s="9" t="inlineStr">
        <x:is>
          <x:t xml:space="preserve">Optochin sensitive (+), Bile soluble (+) (lysed by bile/deoxycholate)</x:t>
        </x:is>
      </x:c>
      <x:c r="M7" s="9" t="inlineStr">
        <x:is>
          <x:t xml:space="preserve">Thick polysaccharide capsule (Quellung reaction positive)</x:t>
        </x:is>
      </x:c>
      <x:c r="N7" s="9" t="inlineStr">
        <x:is>
          <x:t xml:space="preserve">Polysaccharide capsule (main factor, defines serotypes for PCV13/PPSV23 vaccines), Pneumolysin (cytotoxin), IgA protease, Autolysin</x:t>
        </x:is>
      </x:c>
      <x:c r="O7" s="9" t="inlineStr">
        <x:is>
          <x:t xml:space="preserve">Lobar pneumonia (community-acquired), Otitis media (children), Sinusitis, Bacterial meningitis (adults &amp; children), Sepsis</x:t>
        </x:is>
      </x:c>
      <x:c r="P7" s="9" t="inlineStr">
        <x:is>
          <x:t xml:space="preserve">Elderly, young children, splenectomized patients, crowded populations (prisons, dorms)</x:t>
        </x:is>
      </x:c>
      <x:c r="Q7" s="9" t="inlineStr">
        <x:is>
          <x:t xml:space="preserve">Respiratory droplets (colonizes nasopharynx in asymptomatic carriers)</x:t>
        </x:is>
      </x:c>
      <x:c r="R7" s="9" t="inlineStr">
        <x:is>
          <x:t xml:space="preserve">Lancet-shaped gram-positive diplococci in sputum/CSF; Quellung swelling (+) with antiserum; rust-colored sputum in lobar pneumonia</x:t>
        </x:is>
      </x:c>
      <x:c r="S7" s="9" t="inlineStr">
        <x:is>
          <x:t xml:space="preserve">Amoxicillin or Penicillin (uncomplicated); Ceftriaxone or Vancomycin for meningitis / penicillin-resistant strains</x:t>
        </x:is>
      </x:c>
      <x:c r="T7" s="9" t="inlineStr">
        <x:is>
          <x:t xml:space="preserve">Altered Penicillin-Binding Proteins (PBPs) reduce susceptibility to beta-lactams</x:t>
        </x:is>
      </x:c>
      <x:c r="U7" s="7" t="inlineStr">
        <x:is>
          <x:t xml:space="preserve">Optochin sensitive, Bile soluble, Quellung reaction (+), Lancet-shaped diplococci, vaccine contains capsular polysaccharide</x:t>
        </x:is>
      </x:c>
    </x:row>
    <x:row r="8">
      <x:c r="A8" s="7" t="inlineStr">
        <x:is>
          <x:t xml:space="preserve">Viridans Group Streptococci (S. mutans, S. sanguinis)</x:t>
        </x:is>
      </x:c>
      <x:c r="B8" s="8" t="inlineStr">
        <x:is>
          <x:t xml:space="preserve">Gram-Positive (+)</x:t>
        </x:is>
      </x:c>
      <x:c r="C8" s="8" t="inlineStr">
        <x:is>
          <x:t xml:space="preserve">Coccus</x:t>
        </x:is>
      </x:c>
      <x:c r="D8" s="9" t="inlineStr">
        <x:is>
          <x:t xml:space="preserve">Chains or pairs</x:t>
        </x:is>
      </x:c>
      <x:c r="E8" s="8" t="inlineStr">
        <x:is>
          <x:t xml:space="preserve">Negative (-)</x:t>
        </x:is>
      </x:c>
      <x:c r="F8" s="8" t="inlineStr">
        <x:is>
          <x:t xml:space="preserve">Negative (-)</x:t>
        </x:is>
      </x:c>
      <x:c r="G8" s="8" t="inlineStr">
        <x:is>
          <x:t xml:space="preserve">N/A</x:t>
        </x:is>
      </x:c>
      <x:c r="H8" s="8" t="inlineStr">
        <x:is>
          <x:t xml:space="preserve">Alpha (α) or Gamma (γ)</x:t>
        </x:is>
      </x:c>
      <x:c r="I8" s="8" t="inlineStr">
        <x:is>
          <x:t xml:space="preserve">Non-motile</x:t>
        </x:is>
      </x:c>
      <x:c r="J8" s="8" t="inlineStr">
        <x:is>
          <x:t xml:space="preserve">No</x:t>
        </x:is>
      </x:c>
      <x:c r="K8" s="8" t="inlineStr">
        <x:is>
          <x:t xml:space="preserve">Facultative Anaerobe (some require CO2)</x:t>
        </x:is>
      </x:c>
      <x:c r="L8" s="9" t="inlineStr">
        <x:is>
          <x:t xml:space="preserve">Optochin resistant (-), Bile insoluble (-), Bile esculin negative (-)</x:t>
        </x:is>
      </x:c>
      <x:c r="M8" s="9" t="inlineStr">
        <x:is>
          <x:t xml:space="preserve">Extracellular dextran / biofilm from sucrose</x:t>
        </x:is>
      </x:c>
      <x:c r="N8" s="9" t="inlineStr">
        <x:is>
          <x:t xml:space="preserve">Dextrans (synthesized from sucrose, allow adherence to fibrin-platelet aggregates on damaged heart valves)</x:t>
        </x:is>
      </x:c>
      <x:c r="O8" s="9" t="inlineStr">
        <x:is>
          <x:t xml:space="preserve">Dental caries (S. mutans), Subacute bacterial endocarditis (S. sanguinis), abdominal/brain abscesses (S. intermedius group)</x:t>
        </x:is>
      </x:c>
      <x:c r="P8" s="9" t="inlineStr">
        <x:is>
          <x:t xml:space="preserve">Patients with pre-existing damaged, rheumatic, or prosthetic heart valves following dental procedures</x:t>
        </x:is>
      </x:c>
      <x:c r="Q8" s="9" t="inlineStr">
        <x:is>
          <x:t xml:space="preserve">Commensals of oral cavity, gums, and teeth; enters bloodstream via dental work or mucosal trauma</x:t>
        </x:is>
      </x:c>
      <x:c r="R8" s="9" t="inlineStr">
        <x:is>
          <x:t xml:space="preserve">Subacute low-grade fever and new murmur in patient with prior valve pathology following dental extraction; Optochin resistant</x:t>
        </x:is>
      </x:c>
      <x:c r="S8" s="9" t="inlineStr">
        <x:is>
          <x:t xml:space="preserve">Penicillin G +/- Gentamicin (for endocarditis)</x:t>
        </x:is>
      </x:c>
      <x:c r="T8" s="9" t="inlineStr">
        <x:is>
          <x:t xml:space="preserve">Low-level penicillin resistance can occur via PBP mutations</x:t>
        </x:is>
      </x:c>
      <x:c r="U8" s="7" t="inlineStr">
        <x:is>
          <x:t xml:space="preserve">Optochin resistant, Bile insoluble, synthesizes dextrans from sucrose, causes dental caries &amp; subacute endocarditis</x:t>
        </x:is>
      </x:c>
    </x:row>
    <x:row r="9">
      <x:c r="A9" s="7" t="inlineStr">
        <x:is>
          <x:t xml:space="preserve">Enterococcus faecalis / Enterococcus faecium</x:t>
        </x:is>
      </x:c>
      <x:c r="B9" s="8" t="inlineStr">
        <x:is>
          <x:t xml:space="preserve">Gram-Positive (+)</x:t>
        </x:is>
      </x:c>
      <x:c r="C9" s="8" t="inlineStr">
        <x:is>
          <x:t xml:space="preserve">Coccus</x:t>
        </x:is>
      </x:c>
      <x:c r="D9" s="9" t="inlineStr">
        <x:is>
          <x:t xml:space="preserve">Pairs or short chains</x:t>
        </x:is>
      </x:c>
      <x:c r="E9" s="8" t="inlineStr">
        <x:is>
          <x:t xml:space="preserve">Negative (-)</x:t>
        </x:is>
      </x:c>
      <x:c r="F9" s="8" t="inlineStr">
        <x:is>
          <x:t xml:space="preserve">Negative (-)</x:t>
        </x:is>
      </x:c>
      <x:c r="G9" s="8" t="inlineStr">
        <x:is>
          <x:t xml:space="preserve">N/A</x:t>
        </x:is>
      </x:c>
      <x:c r="H9" s="8" t="inlineStr">
        <x:is>
          <x:t xml:space="preserve">Gamma (γ) / Non-hemolytic (rarely α or β)</x:t>
        </x:is>
      </x:c>
      <x:c r="I9" s="8" t="inlineStr">
        <x:is>
          <x:t xml:space="preserve">Non-motile</x:t>
        </x:is>
      </x:c>
      <x:c r="J9" s="8" t="inlineStr">
        <x:is>
          <x:t xml:space="preserve">No</x:t>
        </x:is>
      </x:c>
      <x:c r="K9" s="8" t="inlineStr">
        <x:is>
          <x:t xml:space="preserve">Facultative Anaerobe</x:t>
        </x:is>
      </x:c>
      <x:c r="L9" s="9" t="inlineStr">
        <x:is>
          <x:t xml:space="preserve">Bile Esculin positive (+), Grows in 6.5% NaCl, Grows in 40% bile, PYR positive (+)</x:t>
        </x:is>
      </x:c>
      <x:c r="M9" s="9" t="inlineStr">
        <x:is>
          <x:t xml:space="preserve">Variable</x:t>
        </x:is>
      </x:c>
      <x:c r="N9" s="9" t="inlineStr">
        <x:is>
          <x:t xml:space="preserve">Adhesins, cytolysin, extracellular enzymes (gelatinase), intrinsic antibiotic resistance</x:t>
        </x:is>
      </x:c>
      <x:c r="O9" s="9" t="inlineStr">
        <x:is>
          <x:t xml:space="preserve">Nosocomial UTIs, subacute endocarditis, catheter infections, wound &amp; intra-abdominal infections, biliary tract infections</x:t>
        </x:is>
      </x:c>
      <x:c r="P9" s="9" t="inlineStr">
        <x:is>
          <x:t xml:space="preserve">Hospitalized patients, patients on broad-spectrum cephalosporins, catheterized or debilitated patients</x:t>
        </x:is>
      </x:c>
      <x:c r="Q9" s="9" t="inlineStr">
        <x:is>
          <x:t xml:space="preserve">Normal GI tract flora; nosocomial cross-transmission via hands of personnel</x:t>
        </x:is>
      </x:c>
      <x:c r="R9" s="9" t="inlineStr">
        <x:is>
          <x:t xml:space="preserve">Nosocomial UTI or endocarditis; blackens bile esculin agar and grows in 6.5% NaCl broth; intrinsically resistant to cephalosporins</x:t>
        </x:is>
      </x:c>
      <x:c r="S9" s="9" t="inlineStr">
        <x:is>
          <x:t xml:space="preserve">Ampicillin + Gentamicin; Vancomycin; Daptomycin or Linezolid for VRE (Vancomycin-Resistant Enterococcus)</x:t>
        </x:is>
      </x:c>
      <x:c r="T9" s="9" t="inlineStr">
        <x:is>
          <x:t xml:space="preserve">Intrinsic resistance to cephalosporins, low-level aminoglycosides, and clindamycin; acquired VRE via vanA/vanB gene (altered peptidoglycan precursor)</x:t>
        </x:is>
      </x:c>
      <x:c r="U9" s="7" t="inlineStr">
        <x:is>
          <x:t xml:space="preserve">Bile Esculin (+), grows in 6.5% NaCl, intrinsically resistant to cephalosporins, cause of VRE</x:t>
        </x:is>
      </x:c>
    </x:row>
    <x:row r="10">
      <x:c r="A10" s="7" t="inlineStr">
        <x:is>
          <x:t xml:space="preserve">Streptococcus bovis / Streptococcus gallolyticus</x:t>
        </x:is>
      </x:c>
      <x:c r="B10" s="8" t="inlineStr">
        <x:is>
          <x:t xml:space="preserve">Gram-Positive (+)</x:t>
        </x:is>
      </x:c>
      <x:c r="C10" s="8" t="inlineStr">
        <x:is>
          <x:t xml:space="preserve">Coccus</x:t>
        </x:is>
      </x:c>
      <x:c r="D10" s="9" t="inlineStr">
        <x:is>
          <x:t xml:space="preserve">Chains or pairs</x:t>
        </x:is>
      </x:c>
      <x:c r="E10" s="8" t="inlineStr">
        <x:is>
          <x:t xml:space="preserve">Negative (-)</x:t>
        </x:is>
      </x:c>
      <x:c r="F10" s="8" t="inlineStr">
        <x:is>
          <x:t xml:space="preserve">Negative (-)</x:t>
        </x:is>
      </x:c>
      <x:c r="G10" s="8" t="inlineStr">
        <x:is>
          <x:t xml:space="preserve">N/A</x:t>
        </x:is>
      </x:c>
      <x:c r="H10" s="8" t="inlineStr">
        <x:is>
          <x:t xml:space="preserve">Gamma (γ) or Alpha (α)</x:t>
        </x:is>
      </x:c>
      <x:c r="I10" s="8" t="inlineStr">
        <x:is>
          <x:t xml:space="preserve">Non-motile</x:t>
        </x:is>
      </x:c>
      <x:c r="J10" s="8" t="inlineStr">
        <x:is>
          <x:t xml:space="preserve">No</x:t>
        </x:is>
      </x:c>
      <x:c r="K10" s="8" t="inlineStr">
        <x:is>
          <x:t xml:space="preserve">Facultative Anaerobe</x:t>
        </x:is>
      </x:c>
      <x:c r="L10" s="9" t="inlineStr">
        <x:is>
          <x:t xml:space="preserve">Bile Esculin positive (+), Fails to grow in 6.5% NaCl (-), PYR negative (-)</x:t>
        </x:is>
      </x:c>
      <x:c r="M10" s="9" t="inlineStr">
        <x:is>
          <x:t xml:space="preserve">Variable</x:t>
        </x:is>
      </x:c>
      <x:c r="N10" s="9" t="inlineStr">
        <x:is>
          <x:t xml:space="preserve">Adherence factors, pili</x:t>
        </x:is>
      </x:c>
      <x:c r="O10" s="9" t="inlineStr">
        <x:is>
          <x:t xml:space="preserve">Endocarditis, bacteremia, UTIs, intra-abdominal abscesses</x:t>
        </x:is>
      </x:c>
      <x:c r="P10" s="9" t="inlineStr">
        <x:is>
          <x:t xml:space="preserve">Patients with underlying colon cancer, colonic polyps, or inflammatory bowel disease</x:t>
        </x:is>
      </x:c>
      <x:c r="Q10" s="9" t="inlineStr">
        <x:is>
          <x:t xml:space="preserve">Normal GI microbiota</x:t>
        </x:is>
      </x:c>
      <x:c r="R10" s="9" t="inlineStr">
        <x:is>
          <x:t xml:space="preserve">S. bovis / S. gallolyticus bacteremia or endocarditis MANDATES colonoscopy to evaluate for occult colorectal carcinoma</x:t>
        </x:is>
      </x:c>
      <x:c r="S10" s="9" t="inlineStr">
        <x:is>
          <x:t xml:space="preserve">Penicillin G, Ceftriaxone, or Vancomycin</x:t>
        </x:is>
      </x:c>
      <x:c r="T10" s="9" t="inlineStr">
        <x:is>
          <x:t xml:space="preserve">Generally penicillin susceptible</x:t>
        </x:is>
      </x:c>
      <x:c r="U10" s="7" t="inlineStr">
        <x:is>
          <x:t xml:space="preserve">Bile Esculin (+), FAILS to grow in 6.5% NaCl, strong clinical association with colon cancer</x:t>
        </x:is>
      </x:c>
    </x:row>
    <x:row r="11">
      <x:c r="A11" s="10" t="inlineStr">
        <x:is>
          <x:t xml:space="preserve">Neisseria meningitidis</x:t>
        </x:is>
      </x:c>
      <x:c r="B11" s="11" t="inlineStr">
        <x:is>
          <x:t xml:space="preserve">Gram-Negative (-)</x:t>
        </x:is>
      </x:c>
      <x:c r="C11" s="11" t="inlineStr">
        <x:is>
          <x:t xml:space="preserve">Diplococcus (kidney-bean shaped)</x:t>
        </x:is>
      </x:c>
      <x:c r="D11" s="12" t="inlineStr">
        <x:is>
          <x:t xml:space="preserve">Pairs</x:t>
        </x:is>
      </x:c>
      <x:c r="E11" s="11" t="inlineStr">
        <x:is>
          <x:t xml:space="preserve">Positive (+)</x:t>
        </x:is>
      </x:c>
      <x:c r="F11" s="11" t="inlineStr">
        <x:is>
          <x:t xml:space="preserve">Positive (+)</x:t>
        </x:is>
      </x:c>
      <x:c r="G11" s="11" t="inlineStr">
        <x:is>
          <x:t xml:space="preserve">N/A</x:t>
        </x:is>
      </x:c>
      <x:c r="H11" s="11" t="inlineStr">
        <x:is>
          <x:t xml:space="preserve">Non-hemolytic</x:t>
        </x:is>
      </x:c>
      <x:c r="I11" s="11" t="inlineStr">
        <x:is>
          <x:t xml:space="preserve">Non-motile</x:t>
        </x:is>
      </x:c>
      <x:c r="J11" s="11" t="inlineStr">
        <x:is>
          <x:t xml:space="preserve">No</x:t>
        </x:is>
      </x:c>
      <x:c r="K11" s="11" t="inlineStr">
        <x:is>
          <x:t xml:space="preserve">Strict Aerobe / Microaerophilic</x:t>
        </x:is>
      </x:c>
      <x:c r="L11" s="12" t="inlineStr">
        <x:is>
          <x:t xml:space="preserve">Ferments Maltose (+) and Glucose (+) (CTA sugars positive), Oxidase (+)</x:t>
        </x:is>
      </x:c>
      <x:c r="M11" s="12" t="inlineStr">
        <x:is>
          <x:t xml:space="preserve">Polysaccharide capsule (serogroups A, B, C, Y, W-135)</x:t>
        </x:is>
      </x:c>
      <x:c r="N11" s="12" t="inlineStr">
        <x:is>
          <x:t xml:space="preserve">Polysaccharide capsule (antiphagocytic), Endotoxin (LOS - Lipid A causes massive DIC/shock), IgA protease, Pili</x:t>
        </x:is>
      </x:c>
      <x:c r="O11" s="12" t="inlineStr">
        <x:is>
          <x:t xml:space="preserve">Meningococcal meningitis, Meningococcemia (Waterhouse-Friderichsen syndrome - adrenal hemorrhage/insufficiency)</x:t>
        </x:is>
      </x:c>
      <x:c r="P11" s="12" t="inlineStr">
        <x:is>
          <x:t xml:space="preserve">Infants, adolescents, young adults in crowded environments (military barracks, college dorms, prisons)</x:t>
        </x:is>
      </x:c>
      <x:c r="Q11" s="12" t="inlineStr">
        <x:is>
          <x:t xml:space="preserve">Respiratory droplets; human nasopharyngeal colonization</x:t>
        </x:is>
      </x:c>
      <x:c r="R11" s="12" t="inlineStr">
        <x:is>
          <x:t xml:space="preserve">Sudden high fever, severe headache, nuchal rigidity, petechial/purpuric skin rash, DIC; maltose fermenter</x:t>
        </x:is>
      </x:c>
      <x:c r="S11" s="12" t="inlineStr">
        <x:is>
          <x:t xml:space="preserve">Ceftriaxone or Cefotaxime; Penicillin G if susceptible; Rifampin, Ciprofloxacin, or Ceftriaxone prophylaxis for close contacts</x:t>
        </x:is>
      </x:c>
      <x:c r="T11" s="12" t="inlineStr">
        <x:is>
          <x:t xml:space="preserve">Rare penicillin resistance via altered PBPs; quadrivalent polysaccharide/conjugate vaccines available</x:t>
        </x:is>
      </x:c>
      <x:c r="U11" s="10" t="inlineStr">
        <x:is>
          <x:t xml:space="preserve">Maltose fermenter (+), polysaccharide capsule, petechial rash, Waterhouse-Friderichsen syndrome</x:t>
        </x:is>
      </x:c>
    </x:row>
    <x:row r="12">
      <x:c r="A12" s="10" t="inlineStr">
        <x:is>
          <x:t xml:space="preserve">Neisseria gonorrhoeae</x:t>
        </x:is>
      </x:c>
      <x:c r="B12" s="11" t="inlineStr">
        <x:is>
          <x:t xml:space="preserve">Gram-Negative (-)</x:t>
        </x:is>
      </x:c>
      <x:c r="C12" s="11" t="inlineStr">
        <x:is>
          <x:t xml:space="preserve">Diplococcus (kidney-bean shaped, intracellular in PMNs)</x:t>
        </x:is>
      </x:c>
      <x:c r="D12" s="12" t="inlineStr">
        <x:is>
          <x:t xml:space="preserve">Pairs</x:t>
        </x:is>
      </x:c>
      <x:c r="E12" s="11" t="inlineStr">
        <x:is>
          <x:t xml:space="preserve">Positive (+)</x:t>
        </x:is>
      </x:c>
      <x:c r="F12" s="11" t="inlineStr">
        <x:is>
          <x:t xml:space="preserve">Positive (+)</x:t>
        </x:is>
      </x:c>
      <x:c r="G12" s="11" t="inlineStr">
        <x:is>
          <x:t xml:space="preserve">N/A</x:t>
        </x:is>
      </x:c>
      <x:c r="H12" s="11" t="inlineStr">
        <x:is>
          <x:t xml:space="preserve">Non-hemolytic</x:t>
        </x:is>
      </x:c>
      <x:c r="I12" s="11" t="inlineStr">
        <x:is>
          <x:t xml:space="preserve">Non-motile</x:t>
        </x:is>
      </x:c>
      <x:c r="J12" s="11" t="inlineStr">
        <x:is>
          <x:t xml:space="preserve">No</x:t>
        </x:is>
      </x:c>
      <x:c r="K12" s="11" t="inlineStr">
        <x:is>
          <x:t xml:space="preserve">Strict Aerobe / Fastidious (requires Thayer-Martin / Chocolate agar)</x:t>
        </x:is>
      </x:c>
      <x:c r="L12" s="12" t="inlineStr">
        <x:is>
          <x:t xml:space="preserve">Ferments Glucose (+), Maltose negative (-), CTA test glucose (+)/maltose (-)</x:t>
        </x:is>
      </x:c>
      <x:c r="M12" s="12" t="inlineStr">
        <x:is>
          <x:t xml:space="preserve">NO capsule (non-encapsulated)</x:t>
        </x:is>
      </x:c>
      <x:c r="N12" s="12" t="inlineStr">
        <x:is>
          <x:t xml:space="preserve">Pili (antigenic variation), IgA protease, LOS (endotoxin), Opa proteins (adherence/invasion), Porin proteins</x:t>
        </x:is>
      </x:c>
      <x:c r="O12" s="12" t="inlineStr">
        <x:is>
          <x:t xml:space="preserve">Gonorrhea (urethritis with purulent discharge, cervicitis), Pelvic Inflammatory Disease (PID), Ophthalmia neonatorum, Disseminated gonococcal infection (septic arthritis, tenosynovitis)</x:t>
        </x:is>
      </x:c>
      <x:c r="P12" s="12" t="inlineStr">
        <x:is>
          <x:t xml:space="preserve">Sexually active adolescents and adults; neonates born to infected mothers</x:t>
        </x:is>
      </x:c>
      <x:c r="Q12" s="12" t="inlineStr">
        <x:is>
          <x:t xml:space="preserve">Sexual transmission; vertical transmission during delivery</x:t>
        </x:is>
      </x:c>
      <x:c r="R12" s="12" t="inlineStr">
        <x:is>
          <x:t xml:space="preserve">Gram-negative diplococci inside polymorphonuclear neutrophils (PMNs) in urethral exudate; grows on Thayer-Martin agar; Maltose negative</x:t>
        </x:is>
      </x:c>
      <x:c r="S12" s="12" t="inlineStr">
        <x:is>
          <x:t xml:space="preserve">Ceftriaxone (IM single dose) + Doxycycline (oral for empirical Chlamydia coverage)</x:t>
        </x:is>
      </x:c>
      <x:c r="T12" s="12" t="inlineStr">
        <x:is>
          <x:t xml:space="preserve">High resistance to penicillin, tetracyclines, fluoroquinolones, and macrolides via beta-lactamases and efflux pumps</x:t>
        </x:is>
      </x:c>
      <x:c r="U12" s="10" t="inlineStr">
        <x:is>
          <x:t xml:space="preserve">NO capsule, Maltose negative, selective growth on Thayer-Martin medium, intracellular diplococci in PMNs</x:t>
        </x:is>
      </x:c>
    </x:row>
    <x:row r="13">
      <x:c r="A13" s="10" t="inlineStr">
        <x:is>
          <x:t xml:space="preserve">Escherichia coli</x:t>
        </x:is>
      </x:c>
      <x:c r="B13" s="11" t="inlineStr">
        <x:is>
          <x:t xml:space="preserve">Gram-Negative (-)</x:t>
        </x:is>
      </x:c>
      <x:c r="C13" s="11" t="inlineStr">
        <x:is>
          <x:t xml:space="preserve">Bacillus (rod)</x:t>
        </x:is>
      </x:c>
      <x:c r="D13" s="12" t="inlineStr">
        <x:is>
          <x:t xml:space="preserve">Single / random</x:t>
        </x:is>
      </x:c>
      <x:c r="E13" s="11" t="inlineStr">
        <x:is>
          <x:t xml:space="preserve">Positive (+)</x:t>
        </x:is>
      </x:c>
      <x:c r="F13" s="11" t="inlineStr">
        <x:is>
          <x:t xml:space="preserve">Negative (-)</x:t>
        </x:is>
      </x:c>
      <x:c r="G13" s="11" t="inlineStr">
        <x:is>
          <x:t xml:space="preserve">N/A</x:t>
        </x:is>
      </x:c>
      <x:c r="H13" s="11" t="inlineStr">
        <x:is>
          <x:t xml:space="preserve">Beta (β) on blood agar (some strains)</x:t>
        </x:is>
      </x:c>
      <x:c r="I13" s="11" t="inlineStr">
        <x:is>
          <x:t xml:space="preserve">Motile (peritrichous flagella)</x:t>
        </x:is>
      </x:c>
      <x:c r="J13" s="11" t="inlineStr">
        <x:is>
          <x:t xml:space="preserve">No</x:t>
        </x:is>
      </x:c>
      <x:c r="K13" s="11" t="inlineStr">
        <x:is>
          <x:t xml:space="preserve">Facultative Anaerobe</x:t>
        </x:is>
      </x:c>
      <x:c r="L13" s="12" t="inlineStr">
        <x:is>
          <x:t xml:space="preserve">Fast lactose fermenter (pink on MacConkey), Metallic green sheen on EMB agar, Indole (+), MR (+), VP (-), Citrate (-) [IMViC: ++--]</x:t>
        </x:is>
      </x:c>
      <x:c r="M13" s="12" t="inlineStr">
        <x:is>
          <x:t xml:space="preserve">K1 capsular antigen (in neonatal meningitis strains)</x:t>
        </x:is>
      </x:c>
      <x:c r="N13" s="12" t="inlineStr">
        <x:is>
          <x:t xml:space="preserve">Type 1 &amp; P fimbriae (UTI adherence), LT (cAMP) &amp; ST (cGMP) toxins (ETEC), Shiga-like toxins Stx-1/Stx-2 (STEC/EHEC O157:H7), K1 capsule, Endotoxin (Lipid A)</x:t>
        </x:is>
      </x:c>
      <x:c r="O13" s="12" t="inlineStr">
        <x:is>
          <x:t xml:space="preserve">#1 cause of UTI (cystitis, pyelonephritis); Neonatal sepsis &amp; meningitis (K1); Diarrhea (ETEC watery, EHEC/STEC bloody + HUS); Nosocomial pneumonia &amp; bacteremia</x:t>
        </x:is>
      </x:c>
      <x:c r="P13" s="12" t="inlineStr">
        <x:is>
          <x:t xml:space="preserve">All age groups, sexually active females (UTI), neonates, travelers (ETEC), consumers of undercooked hamburger (EHEC)</x:t>
        </x:is>
      </x:c>
      <x:c r="Q13" s="12" t="inlineStr">
        <x:is>
          <x:t xml:space="preserve">Normal intestinal microbiota; fecal-oral route, contaminated food/water (hamburger meat, unpasteurized juice), auto-inoculation</x:t>
        </x:is>
      </x:c>
      <x:c r="R13" s="12" t="inlineStr">
        <x:is>
          <x:t xml:space="preserve">Metallic green sheen on EMB agar; fast lactose fermenter; primary fecal indicator in water testing; STEC O157:H7 causes microangiopathic hemolytic anemia (HUS)</x:t>
        </x:is>
      </x:c>
      <x:c r="S13" s="12" t="inlineStr">
        <x:is>
          <x:t xml:space="preserve">TMP-SMX, Nitrofurantoin, or Fluoroquinolones for UTI; Ceftriaxone for sepsis/meningitis; Avoid antibiotics in STEC (increases Shiga toxin release &amp; HUS risk)</x:t>
        </x:is>
      </x:c>
      <x:c r="T13" s="12" t="inlineStr">
        <x:is>
          <x:t xml:space="preserve">Plasmid-mediated ESBL (Extended-Spectrum Beta-Lactamases), AmpC, fluoroquinolone resistance</x:t>
        </x:is>
      </x:c>
      <x:c r="U13" s="10" t="inlineStr">
        <x:is>
          <x:t xml:space="preserve">Metallic green sheen on EMB, Indole (+), K1 capsule in neonatal meningitis, O157:H7 causes HUS</x:t>
        </x:is>
      </x:c>
    </x:row>
    <x:row r="14">
      <x:c r="A14" s="10" t="inlineStr">
        <x:is>
          <x:t xml:space="preserve">Klebsiella pneumoniae</x:t>
        </x:is>
      </x:c>
      <x:c r="B14" s="11" t="inlineStr">
        <x:is>
          <x:t xml:space="preserve">Gram-Negative (-)</x:t>
        </x:is>
      </x:c>
      <x:c r="C14" s="11" t="inlineStr">
        <x:is>
          <x:t xml:space="preserve">Bacillus (rod)</x:t>
        </x:is>
      </x:c>
      <x:c r="D14" s="12" t="inlineStr">
        <x:is>
          <x:t xml:space="preserve">Single / pairs</x:t>
        </x:is>
      </x:c>
      <x:c r="E14" s="11" t="inlineStr">
        <x:is>
          <x:t xml:space="preserve">Positive (+)</x:t>
        </x:is>
      </x:c>
      <x:c r="F14" s="11" t="inlineStr">
        <x:is>
          <x:t xml:space="preserve">Negative (-)</x:t>
        </x:is>
      </x:c>
      <x:c r="G14" s="11" t="inlineStr">
        <x:is>
          <x:t xml:space="preserve">N/A</x:t>
        </x:is>
      </x:c>
      <x:c r="H14" s="11" t="inlineStr">
        <x:is>
          <x:t xml:space="preserve">Non-hemolytic</x:t>
        </x:is>
      </x:c>
      <x:c r="I14" s="11" t="inlineStr">
        <x:is>
          <x:t xml:space="preserve">Non-motile</x:t>
        </x:is>
      </x:c>
      <x:c r="J14" s="11" t="inlineStr">
        <x:is>
          <x:t xml:space="preserve">No</x:t>
        </x:is>
      </x:c>
      <x:c r="K14" s="11" t="inlineStr">
        <x:is>
          <x:t xml:space="preserve">Facultative Anaerobe</x:t>
        </x:is>
      </x:c>
      <x:c r="L14" s="12" t="inlineStr">
        <x:is>
          <x:t xml:space="preserve">Fast lactose fermenter (mucoid pink colonies on MAC), Urease positive (slow), Citrate (+), VP (+), MR (-) [IMViC: --++]</x:t>
        </x:is>
      </x:c>
      <x:c r="M14" s="12" t="inlineStr">
        <x:is>
          <x:t xml:space="preserve">Large polysaccharide K capsular antigen (thick mucoid capsule)</x:t>
        </x:is>
      </x:c>
      <x:c r="N14" s="12" t="inlineStr">
        <x:is>
          <x:t xml:space="preserve">Large polysaccharide capsule (main virulence factor, prevents phagocytosis &amp; complement), Endotoxin (LPS)</x:t>
        </x:is>
      </x:c>
      <x:c r="O14" s="12" t="inlineStr">
        <x:is>
          <x:t xml:space="preserve">Pneumonia (community- and hospital-acquired) with necrotizing lobar consolidation, Nosocomial UTIs, Bacteremia, Liver abscesses</x:t>
        </x:is>
      </x:c>
      <x:c r="P14" s="12" t="inlineStr">
        <x:is>
          <x:t xml:space="preserve">Alcoholics, diabetics, COPD patients, elderly, hospitalized patients with catheters or respirators</x:t>
        </x:is>
      </x:c>
      <x:c r="Q14" s="12" t="inlineStr">
        <x:is>
          <x:t xml:space="preserve">Endogenous flora aspiration, nosocomial contact via hands of healthcare workers</x:t>
        </x:is>
      </x:c>
      <x:c r="R14" s="12" t="inlineStr">
        <x:is>
          <x:t xml:space="preserve">Thick mucoid bloody 'currant-jelly' sputum; viscous mucoid colonies that string on loop ('string test' positive); non-motile lactose fermenter</x:t>
        </x:is>
      </x:c>
      <x:c r="S14" s="12" t="inlineStr">
        <x:is>
          <x:t xml:space="preserve">3rd/4th generation Cephalosporins (e.g., Cefepime), Piperacillin-Tazobactam, Carbapenems (for ESBL strains)</x:t>
        </x:is>
      </x:c>
      <x:c r="T14" s="12" t="inlineStr">
        <x:is>
          <x:t xml:space="preserve">High plasmid-mediated resistance (ESBLs, KPC carbapenemase)</x:t>
        </x:is>
      </x:c>
      <x:c r="U14" s="10" t="inlineStr">
        <x:is>
          <x:t xml:space="preserve">Non-motile, prominent mucoid capsule, 'currant-jelly' sputum in chronic alcoholics</x:t>
        </x:is>
      </x:c>
    </x:row>
    <x:row r="15">
      <x:c r="A15" s="10" t="inlineStr">
        <x:is>
          <x:t xml:space="preserve">Proteus mirabilis / Proteus vulgaris</x:t>
        </x:is>
      </x:c>
      <x:c r="B15" s="11" t="inlineStr">
        <x:is>
          <x:t xml:space="preserve">Gram-Negative (-)</x:t>
        </x:is>
      </x:c>
      <x:c r="C15" s="11" t="inlineStr">
        <x:is>
          <x:t xml:space="preserve">Bacillus (rod)</x:t>
        </x:is>
      </x:c>
      <x:c r="D15" s="12" t="inlineStr">
        <x:is>
          <x:t xml:space="preserve">Single</x:t>
        </x:is>
      </x:c>
      <x:c r="E15" s="11" t="inlineStr">
        <x:is>
          <x:t xml:space="preserve">Positive (+)</x:t>
        </x:is>
      </x:c>
      <x:c r="F15" s="11" t="inlineStr">
        <x:is>
          <x:t xml:space="preserve">Negative (-)</x:t>
        </x:is>
      </x:c>
      <x:c r="G15" s="11" t="inlineStr">
        <x:is>
          <x:t xml:space="preserve">N/A</x:t>
        </x:is>
      </x:c>
      <x:c r="H15" s="11" t="inlineStr">
        <x:is>
          <x:t xml:space="preserve">Variable</x:t>
        </x:is>
      </x:c>
      <x:c r="I15" s="11" t="inlineStr">
        <x:is>
          <x:t xml:space="preserve">Highly motile (Swarming motility on blood agar)</x:t>
        </x:is>
      </x:c>
      <x:c r="J15" s="11" t="inlineStr">
        <x:is>
          <x:t xml:space="preserve">No</x:t>
        </x:is>
      </x:c>
      <x:c r="K15" s="11" t="inlineStr">
        <x:is>
          <x:t xml:space="preserve">Facultative Anaerobe</x:t>
        </x:is>
      </x:c>
      <x:c r="L15" s="12" t="inlineStr">
        <x:is>
          <x:t xml:space="preserve">Lactose non-fermenter (colorless on MAC), Rapid Urease (+), H2S positive (+) (black in TSI/Hektoen). P. mirabilis: Indole (-); P. vulgaris: Indole (+)</x:t>
        </x:is>
      </x:c>
      <x:c r="M15" s="12" t="inlineStr">
        <x:is>
          <x:t xml:space="preserve">None prominent</x:t>
        </x:is>
      </x:c>
      <x:c r="N15" s="12" t="inlineStr">
        <x:is>
          <x:t xml:space="preserve">Rapid Urease enzyme (hydrolyzes urea to ammonia), Swarming motility (peritrichous flagella), Endotoxin, Fimbriae</x:t>
        </x:is>
      </x:c>
      <x:c r="O15" s="12" t="inlineStr">
        <x:is>
          <x:t xml:space="preserve">Urinary Tract Infections (cystitis, pyelonephritis), Struvite kidney stones (staghorn calculi), Nosocomial wound &amp; bloodstream infections</x:t>
        </x:is>
      </x:c>
      <x:c r="P15" s="12" t="inlineStr">
        <x:is>
          <x:t xml:space="preserve">Catheterized patients, elderly, patients with recurrent UTIs or structural urinary tract anomalies</x:t>
        </x:is>
      </x:c>
      <x:c r="Q15" s="12" t="inlineStr">
        <x:is>
          <x:t xml:space="preserve">Normal intestinal flora; hospital cross-contamination</x:t>
        </x:is>
      </x:c>
      <x:c r="R15" s="12" t="inlineStr">
        <x:is>
          <x:t xml:space="preserve">Swarming concentric rings across blood agar plate; alkaline urine pH with precipitation of struvite stones (magnesium ammonium phosphate); rapid urea hydrolysis</x:t>
        </x:is>
      </x:c>
      <x:c r="S15" s="12" t="inlineStr">
        <x:is>
          <x:t xml:space="preserve">Fluoroquinolones, TMP-SMX, Ceftriaxone, or Ampicillin (for P. mirabilis)</x:t>
        </x:is>
      </x:c>
      <x:c r="T15" s="12" t="inlineStr">
        <x:is>
          <x:t xml:space="preserve">P. mirabilis usually susceptible; P. vulgaris produces chromosomal AmpC beta-lactamase (resistant to ampicillin/1st-gen cephalosporins)</x:t>
        </x:is>
      </x:c>
      <x:c r="U15" s="10" t="inlineStr">
        <x:is>
          <x:t xml:space="preserve">Swarming motility on blood agar, rapid Urease (+), H2S (+), causes alkaline urine and struvite kidney stones</x:t>
        </x:is>
      </x:c>
    </x:row>
    <x:row r="16">
      <x:c r="A16" s="10" t="inlineStr">
        <x:is>
          <x:t xml:space="preserve">Pseudomonas aeruginosa</x:t>
        </x:is>
      </x:c>
      <x:c r="B16" s="11" t="inlineStr">
        <x:is>
          <x:t xml:space="preserve">Gram-Negative (-)</x:t>
        </x:is>
      </x:c>
      <x:c r="C16" s="11" t="inlineStr">
        <x:is>
          <x:t xml:space="preserve">Bacillus (rod)</x:t>
        </x:is>
      </x:c>
      <x:c r="D16" s="12" t="inlineStr">
        <x:is>
          <x:t xml:space="preserve">Single / pairs</x:t>
        </x:is>
      </x:c>
      <x:c r="E16" s="11" t="inlineStr">
        <x:is>
          <x:t xml:space="preserve">Positive (+)</x:t>
        </x:is>
      </x:c>
      <x:c r="F16" s="11" t="inlineStr">
        <x:is>
          <x:t xml:space="preserve">Positive (+)</x:t>
        </x:is>
      </x:c>
      <x:c r="G16" s="11" t="inlineStr">
        <x:is>
          <x:t xml:space="preserve">N/A</x:t>
        </x:is>
      </x:c>
      <x:c r="H16" s="11" t="inlineStr">
        <x:is>
          <x:t xml:space="preserve">Beta (β) / variable</x:t>
        </x:is>
      </x:c>
      <x:c r="I16" s="11" t="inlineStr">
        <x:is>
          <x:t xml:space="preserve">Motile (polar flagella)</x:t>
        </x:is>
      </x:c>
      <x:c r="J16" s="11" t="inlineStr">
        <x:is>
          <x:t xml:space="preserve">No</x:t>
        </x:is>
      </x:c>
      <x:c r="K16" s="11" t="inlineStr">
        <x:is>
          <x:t xml:space="preserve">Strict Aerobe (non-fermenter)</x:t>
        </x:is>
      </x:c>
      <x:c r="L16" s="12" t="inlineStr">
        <x:is>
          <x:t xml:space="preserve">Lactose non-fermenter (colorless on MAC), Oxidase (+), OF test: Oxidative only, Grows at 42°C</x:t>
        </x:is>
      </x:c>
      <x:c r="M16" s="12" t="inlineStr">
        <x:is>
          <x:t xml:space="preserve">Alginate exopolysaccharide (thick polymer aiding biofilm formation)</x:t>
        </x:is>
      </x:c>
      <x:c r="N16" s="12" t="inlineStr">
        <x:is>
          <x:t xml:space="preserve">Exotoxin A (inactivates EF-2 by ADP-ribosylation, inhibiting protein synthesis), Pyocyanin (blue toxin generating reactive oxygen species), Pyoverdin (yellow-green siderophore), Alginate biofilm, Endotoxin, Elastase</x:t>
        </x:is>
      </x:c>
      <x:c r="O16" s="12" t="inlineStr">
        <x:is>
          <x:t xml:space="preserve">Burn/wound infections (blue-green pus), Ecthyma gangrenosum (black necrotic skin lesions), Chronic pneumonia in Cystic Fibrosis, Swimmer's ear (otitis externa), Malignant otitis externa in diabetics, Catheter UTIs, Keratitis in contact lens wearers, Sepsis</x:t>
        </x:is>
      </x:c>
      <x:c r="P16" s="12" t="inlineStr">
        <x:is>
          <x:t xml:space="preserve">Immunocompromised, neutropenic cancer patients, Cystic Fibrosis patients, severe burn victims, diabetics, hospitalized patients</x:t>
        </x:is>
      </x:c>
      <x:c r="Q16" s="12" t="inlineStr">
        <x:is>
          <x:t xml:space="preserve">Ubiquitous in soil, water, moist hospital environments (respirators, sinks, dialysis equipment, irrigating solutions)</x:t>
        </x:is>
      </x:c>
      <x:c r="R16" s="12" t="inlineStr">
        <x:is>
          <x:t xml:space="preserve">Sweet fruity / grape-like odor; blue-green pyocyanin pigment; Ecthyma gangrenosum black necrotic lesions; strict aerobe, Oxidase (+)</x:t>
        </x:is>
      </x:c>
      <x:c r="S16" s="12" t="inlineStr">
        <x:is>
          <x:t xml:space="preserve">Anti-pseudomonal combination therapy: Piperacillin-Tazobactam, Cefepime, or Meropenem PLUS an Aminoglycoside (Gentamicin/Amikacin) or Fluoroquinolone</x:t>
        </x:is>
      </x:c>
      <x:c r="T16" s="12" t="inlineStr">
        <x:is>
          <x:t xml:space="preserve">Extensive intrinsic and acquired multidrug resistance (efflux pumps, porin mutations, beta-lactamases, carbapenemases)</x:t>
        </x:is>
      </x:c>
      <x:c r="U16" s="10" t="inlineStr">
        <x:is>
          <x:t xml:space="preserve">Oxidase (+), Pyocyanin blue-green pigment, fruity odor, strict aerobe, Exotoxin A inactivates EF-2</x:t>
        </x:is>
      </x:c>
    </x:row>
    <x:row r="17">
      <x:c r="A17" s="10" t="inlineStr">
        <x:is>
          <x:t xml:space="preserve">Vibrio cholerae</x:t>
        </x:is>
      </x:c>
      <x:c r="B17" s="11" t="inlineStr">
        <x:is>
          <x:t xml:space="preserve">Gram-Negative (-)</x:t>
        </x:is>
      </x:c>
      <x:c r="C17" s="11" t="inlineStr">
        <x:is>
          <x:t xml:space="preserve">Curved / Comma-shaped rod</x:t>
        </x:is>
      </x:c>
      <x:c r="D17" s="12" t="inlineStr">
        <x:is>
          <x:t xml:space="preserve">Single</x:t>
        </x:is>
      </x:c>
      <x:c r="E17" s="11" t="inlineStr">
        <x:is>
          <x:t xml:space="preserve">Positive (+)</x:t>
        </x:is>
      </x:c>
      <x:c r="F17" s="11" t="inlineStr">
        <x:is>
          <x:t xml:space="preserve">Positive (+)</x:t>
        </x:is>
      </x:c>
      <x:c r="G17" s="11" t="inlineStr">
        <x:is>
          <x:t xml:space="preserve">N/A</x:t>
        </x:is>
      </x:c>
      <x:c r="H17" s="11" t="inlineStr">
        <x:is>
          <x:t xml:space="preserve">Variable</x:t>
        </x:is>
      </x:c>
      <x:c r="I17" s="11" t="inlineStr">
        <x:is>
          <x:t xml:space="preserve">Motile (single polar flagellum, darting motility)</x:t>
        </x:is>
      </x:c>
      <x:c r="J17" s="11" t="inlineStr">
        <x:is>
          <x:t xml:space="preserve">No</x:t>
        </x:is>
      </x:c>
      <x:c r="K17" s="11" t="inlineStr">
        <x:is>
          <x:t xml:space="preserve">Facultative Anaerobe</x:t>
        </x:is>
      </x:c>
      <x:c r="L17" s="12" t="inlineStr">
        <x:is>
          <x:t xml:space="preserve">Ferments Glucose &amp; Sucrose (Yellow colonies on TCBS agar), Non-lactose fermenter, Grows at high pH (8.5–9.5), Halotolerant (NaCl stimulates growth)</x:t>
        </x:is>
      </x:c>
      <x:c r="M17" s="12" t="inlineStr">
        <x:is>
          <x:t xml:space="preserve">O1 and O139 polysaccharide capsular / LPS antigens</x:t>
        </x:is>
      </x:c>
      <x:c r="N17" s="12" t="inlineStr">
        <x:is>
          <x:t xml:space="preserve">Cholera toxin (CTX - A-B exotoxin that ADP-ribosylates Gs protein, permanently activating adenylate cyclase → elevated cAMP → massive Cl- and water secretion into intestinal lumen), Toxin-coregulated pilus (TCP)</x:t>
        </x:is>
      </x:c>
      <x:c r="O17" s="12" t="inlineStr">
        <x:is>
          <x:t xml:space="preserve">Cholera (profuse watery 'rice-water' diarrhea, rapid severe dehydration, hypovolemic shock, electrolyte collapse)</x:t>
        </x:is>
      </x:c>
      <x:c r="P17" s="12" t="inlineStr">
        <x:is>
          <x:t xml:space="preserve">Populations in endemic areas, areas with disrupted water/sanitation infrastructure, refugee camps, natural disaster zones</x:t>
        </x:is>
      </x:c>
      <x:c r="Q17" s="12" t="inlineStr">
        <x:is>
          <x:t xml:space="preserve">Fecal-oral route via contaminated drinking water or undercooked seafood</x:t>
        </x:is>
      </x:c>
      <x:c r="R17" s="12" t="inlineStr">
        <x:is>
          <x:t xml:space="preserve">Profuse 'rice-water' stool with mucus flecks, NO stool leukocytes (non-invasive enterotoxin); yellow colonies on TCBS agar; grows at alkaline pH 8.5–9.5</x:t>
        </x:is>
      </x:c>
      <x:c r="S17" s="12" t="inlineStr">
        <x:is>
          <x:t xml:space="preserve">Oral Rehydration Therapy (ORT) / aggressive IV fluids &amp; electrolytes (primary life-saving treatment); Azithromycin or Doxycycline to shorten duration</x:t>
        </x:is>
      </x:c>
      <x:c r="T17" s="12" t="inlineStr">
        <x:is>
          <x:t xml:space="preserve">Chromosomal and plasmid-mediated resistance to older antimicrobials</x:t>
        </x:is>
      </x:c>
      <x:c r="U17" s="10" t="inlineStr">
        <x:is>
          <x:t xml:space="preserve">Comma-shaped rod, TCBS yellow colonies (sucrose fermenter), grows at pH 8.5–9.5, Cholera toxin increases cAMP</x:t>
        </x:is>
      </x:c>
    </x:row>
    <x:row r="18">
      <x:c r="A18" s="10" t="inlineStr">
        <x:is>
          <x:t xml:space="preserve">Salmonella spp. (S. enterica, S. typhi)</x:t>
        </x:is>
      </x:c>
      <x:c r="B18" s="11" t="inlineStr">
        <x:is>
          <x:t xml:space="preserve">Gram-Negative (-)</x:t>
        </x:is>
      </x:c>
      <x:c r="C18" s="11" t="inlineStr">
        <x:is>
          <x:t xml:space="preserve">Bacillus (rod)</x:t>
        </x:is>
      </x:c>
      <x:c r="D18" s="12" t="inlineStr">
        <x:is>
          <x:t xml:space="preserve">Single</x:t>
        </x:is>
      </x:c>
      <x:c r="E18" s="11" t="inlineStr">
        <x:is>
          <x:t xml:space="preserve">Positive (+)</x:t>
        </x:is>
      </x:c>
      <x:c r="F18" s="11" t="inlineStr">
        <x:is>
          <x:t xml:space="preserve">Negative (-)</x:t>
        </x:is>
      </x:c>
      <x:c r="G18" s="11" t="inlineStr">
        <x:is>
          <x:t xml:space="preserve">N/A</x:t>
        </x:is>
      </x:c>
      <x:c r="H18" s="11" t="inlineStr">
        <x:is>
          <x:t xml:space="preserve">Non-hemolytic</x:t>
        </x:is>
      </x:c>
      <x:c r="I18" s="11" t="inlineStr">
        <x:is>
          <x:t xml:space="preserve">Motile (peritrichous flagella)</x:t>
        </x:is>
      </x:c>
      <x:c r="J18" s="11" t="inlineStr">
        <x:is>
          <x:t xml:space="preserve">No</x:t>
        </x:is>
      </x:c>
      <x:c r="K18" s="11" t="inlineStr">
        <x:is>
          <x:t xml:space="preserve">Facultative Anaerobe</x:t>
        </x:is>
      </x:c>
      <x:c r="L18" s="12" t="inlineStr">
        <x:is>
          <x:t xml:space="preserve">Lactose non-fermenter (colorless on MAC), H2S positive (+) (black centers on TSI/Hektoen agar), Citrate (+), Indole (-)</x:t>
        </x:is>
      </x:c>
      <x:c r="M18" s="12" t="inlineStr">
        <x:is>
          <x:t xml:space="preserve">Vi capsular antigen (S. typhi)</x:t>
        </x:is>
      </x:c>
      <x:c r="N18" s="12" t="inlineStr">
        <x:is>
          <x:t xml:space="preserve">Vi capsular antigen (S. typhi antiphagocytic), Type III secretion system, Endotoxin (LPS), intracellular survival in macrophages/reticuloendothelial system</x:t>
        </x:is>
      </x:c>
      <x:c r="O18" s="12" t="inlineStr">
        <x:is>
          <x:t xml:space="preserve">Gastroenteritis (S. enterica - nausea, vomiting, watery to bloody diarrhea with leukocytes), Typhoid Fever (S. typhi - stepwise high fever, abdominal pain, 'rose spots', hepatosplenomegaly, leukopenia, intestinal perforation)</x:t>
        </x:is>
      </x:c>
      <x:c r="P18" s="12" t="inlineStr">
        <x:is>
          <x:t xml:space="preserve">Consumers of undercooked poultry/eggs/reptiles (gastroenteritis); travelers to endemic regions, chronic gallbladder carriers (Typhoid)</x:t>
        </x:is>
      </x:c>
      <x:c r="Q18" s="12" t="inlineStr">
        <x:is>
          <x:t xml:space="preserve">Contaminated poultry, eggs, unpasteurized milk, pet reptiles/turtles (S. enterica); human carriers/gallbladder reservoir (S. typhi)</x:t>
        </x:is>
      </x:c>
      <x:c r="R18" s="12" t="inlineStr">
        <x:is>
          <x:t xml:space="preserve">Motile, H2S (+), non-lactose fermenter; Typhoid: 'rose spots' on trunk, relative bradycardia, leukopenia, asymptomatic gallbladder carriers (e.g. Typhoid Mary)</x:t>
        </x:is>
      </x:c>
      <x:c r="S18" s="12" t="inlineStr">
        <x:is>
          <x:t xml:space="preserve">Gastroenteritis: fluid &amp; electrolyte replacement (antibiotics usually avoided unless severe/disseminated); Typhoid: Ceftriaxone, Ciprofloxacin, or Azithromycin</x:t>
        </x:is>
      </x:c>
      <x:c r="T18" s="12" t="inlineStr">
        <x:is>
          <x:t xml:space="preserve">Plasmid-mediated multi-drug resistance (MDR) and fluoroquinolone resistance</x:t>
        </x:is>
      </x:c>
      <x:c r="U18" s="10" t="inlineStr">
        <x:is>
          <x:t xml:space="preserve">H2S (+) production (black colonies), Motile, Vi antigen (S. typhi), 'rose spots' rash</x:t>
        </x:is>
      </x:c>
    </x:row>
    <x:row r="19">
      <x:c r="A19" s="10" t="inlineStr">
        <x:is>
          <x:t xml:space="preserve">Shigella spp. (S. dysenteriae, S. flexneri, S. sonnei)</x:t>
        </x:is>
      </x:c>
      <x:c r="B19" s="11" t="inlineStr">
        <x:is>
          <x:t xml:space="preserve">Gram-Negative (-)</x:t>
        </x:is>
      </x:c>
      <x:c r="C19" s="11" t="inlineStr">
        <x:is>
          <x:t xml:space="preserve">Bacillus (rod)</x:t>
        </x:is>
      </x:c>
      <x:c r="D19" s="12" t="inlineStr">
        <x:is>
          <x:t xml:space="preserve">Single</x:t>
        </x:is>
      </x:c>
      <x:c r="E19" s="11" t="inlineStr">
        <x:is>
          <x:t xml:space="preserve">Positive (+)</x:t>
        </x:is>
      </x:c>
      <x:c r="F19" s="11" t="inlineStr">
        <x:is>
          <x:t xml:space="preserve">Negative (-)</x:t>
        </x:is>
      </x:c>
      <x:c r="G19" s="11" t="inlineStr">
        <x:is>
          <x:t xml:space="preserve">N/A</x:t>
        </x:is>
      </x:c>
      <x:c r="H19" s="11" t="inlineStr">
        <x:is>
          <x:t xml:space="preserve">Non-hemolytic</x:t>
        </x:is>
      </x:c>
      <x:c r="I19" s="11" t="inlineStr">
        <x:is>
          <x:t xml:space="preserve">Non-motile (-)</x:t>
        </x:is>
      </x:c>
      <x:c r="J19" s="11" t="inlineStr">
        <x:is>
          <x:t xml:space="preserve">No</x:t>
        </x:is>
      </x:c>
      <x:c r="K19" s="11" t="inlineStr">
        <x:is>
          <x:t xml:space="preserve">Facultative Anaerobe</x:t>
        </x:is>
      </x:c>
      <x:c r="L19" s="12" t="inlineStr">
        <x:is>
          <x:t xml:space="preserve">Lactose non-fermenter (colorless on MAC; S. sonnei late fermenter), H2S negative (-), Indole variable</x:t>
        </x:is>
      </x:c>
      <x:c r="M19" s="12" t="inlineStr">
        <x:is>
          <x:t xml:space="preserve">None</x:t>
        </x:is>
      </x:c>
      <x:c r="N19" s="12" t="inlineStr">
        <x:is>
          <x:t xml:space="preserve">Shiga toxin (S. dysenteriae type 1 - cleaves 28S rRNA of 60S ribosomal subunit, halting protein synthesis), Type III secretion system, actin polymerization (cell-to-cell spread), Endotoxin</x:t>
        </x:is>
      </x:c>
      <x:c r="O19" s="12" t="inlineStr">
        <x:is>
          <x:t xml:space="preserve">Bacillary dysentery / Shigellosis (fever, severe abdominal cramps, tenesmus, scant bloody/mucoid diarrhea with abundant stool leukocytes)</x:t>
        </x:is>
      </x:c>
      <x:c r="P19" s="12" t="inlineStr">
        <x:is>
          <x:t xml:space="preserve">Young children in daycare centers, institutionalized populations, travelers, men who have sex with men</x:t>
        </x:is>
      </x:c>
      <x:c r="Q19" s="12" t="inlineStr">
        <x:is>
          <x:t xml:space="preserve">Fecal-oral route via '4 Fs' (Fingers, Flies, Food, Fomites); extremely low infectious dose (10–100 organisms)</x:t>
        </x:is>
      </x:c>
      <x:c r="R19" s="12" t="inlineStr">
        <x:is>
          <x:t xml:space="preserve">Non-motile, H2S (-); stool contains abundant PMNs/neutrophils; invasive inflammatory diarrhea; extremely low ID50</x:t>
        </x:is>
      </x:c>
      <x:c r="S19" s="12" t="inlineStr">
        <x:is>
          <x:t xml:space="preserve">Fluid and electrolyte replacement; Ciprofloxacin or Azithromycin for severe cases</x:t>
        </x:is>
      </x:c>
      <x:c r="T19" s="12" t="inlineStr">
        <x:is>
          <x:t xml:space="preserve">Plasmid-mediated resistance to multiple antibiotics (TMP-SMX, ampicillin, fluoroquinolones)</x:t>
        </x:is>
      </x:c>
      <x:c r="U19" s="10" t="inlineStr">
        <x:is>
          <x:t xml:space="preserve">Non-motile, H2S (-), Shiga toxin cleaves 28S rRNA, extremely low infectious dose (10–100 cells)</x:t>
        </x:is>
      </x:c>
    </x:row>
    <x:row r="20">
      <x:c r="A20" s="10" t="inlineStr">
        <x:is>
          <x:t xml:space="preserve">Campylobacter jejuni</x:t>
        </x:is>
      </x:c>
      <x:c r="B20" s="11" t="inlineStr">
        <x:is>
          <x:t xml:space="preserve">Gram-Negative (-)</x:t>
        </x:is>
      </x:c>
      <x:c r="C20" s="11" t="inlineStr">
        <x:is>
          <x:t xml:space="preserve">Curved / Comma or S-shaped rod ('seagull wing')</x:t>
        </x:is>
      </x:c>
      <x:c r="D20" s="12" t="inlineStr">
        <x:is>
          <x:t xml:space="preserve">Single or pairs</x:t>
        </x:is>
      </x:c>
      <x:c r="E20" s="11" t="inlineStr">
        <x:is>
          <x:t xml:space="preserve">Positive (+)</x:t>
        </x:is>
      </x:c>
      <x:c r="F20" s="11" t="inlineStr">
        <x:is>
          <x:t xml:space="preserve">Positive (+)</x:t>
        </x:is>
      </x:c>
      <x:c r="G20" s="11" t="inlineStr">
        <x:is>
          <x:t xml:space="preserve">N/A</x:t>
        </x:is>
      </x:c>
      <x:c r="H20" s="11" t="inlineStr">
        <x:is>
          <x:t xml:space="preserve">Non-hemolytic</x:t>
        </x:is>
      </x:c>
      <x:c r="I20" s="11" t="inlineStr">
        <x:is>
          <x:t xml:space="preserve">Motile (single polar flagellum, corkscrew motility)</x:t>
        </x:is>
      </x:c>
      <x:c r="J20" s="11" t="inlineStr">
        <x:is>
          <x:t xml:space="preserve">No</x:t>
        </x:is>
      </x:c>
      <x:c r="K20" s="11" t="inlineStr">
        <x:is>
          <x:t xml:space="preserve">Microaerophilic (requires 5% O2, 10% CO2)</x:t>
        </x:is>
      </x:c>
      <x:c r="L20" s="12" t="inlineStr">
        <x:is>
          <x:t xml:space="preserve">Grows at 42°C (thermophilic) on Campy-BAP agar, Hippurate hydrolysis positive (+), Oxidase (+)</x:t>
        </x:is>
      </x:c>
      <x:c r="M20" s="12" t="inlineStr">
        <x:is>
          <x:t xml:space="preserve">Capsular polysaccharide</x:t>
        </x:is>
      </x:c>
      <x:c r="N20" s="12" t="inlineStr">
        <x:is>
          <x:t xml:space="preserve">Cytolethal distending toxin (CDT), flagella (motility/invasion), lipooligosaccharide (LOS - cross-reacts with human peripheral nerve gangliosides GM1)</x:t>
        </x:is>
      </x:c>
      <x:c r="O20" s="12" t="inlineStr">
        <x:is>
          <x:t xml:space="preserve">Invasive inflammatory gastroenteritis (fever, crampy abdominal pain, bloody diarrhea with stool leukocytes). Autoimmune sequelae: Guillain-Barré Syndrome, Reactive Arthritis</x:t>
        </x:is>
      </x:c>
      <x:c r="P20" s="12" t="inlineStr">
        <x:is>
          <x:t xml:space="preserve">Consumers of undercooked poultry, unpasteurized dairy, owners of new puppies</x:t>
        </x:is>
      </x:c>
      <x:c r="Q20" s="12" t="inlineStr">
        <x:is>
          <x:t xml:space="preserve">Contaminated poultry/chicken, unpasteurized milk, non-chlorinated water, household pets (puppies)</x:t>
        </x:is>
      </x:c>
      <x:c r="R20" s="12" t="inlineStr">
        <x:is>
          <x:t xml:space="preserve">Curved S-shaped 'seagull wing' rods; grows at 42°C; corkscrew motility; antecedent diarrhea prior to ascending paralysis (Guillain-Barré syndrome)</x:t>
        </x:is>
      </x:c>
      <x:c r="S20" s="12" t="inlineStr">
        <x:is>
          <x:t xml:space="preserve">Azithromycin or Erythromycin; oral rehydration</x:t>
        </x:is>
      </x:c>
      <x:c r="T20" s="12" t="inlineStr">
        <x:is>
          <x:t xml:space="preserve">High rates of resistance to Fluoroquinolones (Ciprofloxacin)</x:t>
        </x:is>
      </x:c>
      <x:c r="U20" s="10" t="inlineStr">
        <x:is>
          <x:t xml:space="preserve">S-shaped / 'seagull wing' rod, grows at 42°C, Hippurate (+), major trigger for Guillain-Barré Syndrome</x:t>
        </x:is>
      </x:c>
    </x:row>
    <x:row r="21">
      <x:c r="A21" s="10" t="inlineStr">
        <x:is>
          <x:t xml:space="preserve">Helicobacter pylori</x:t>
        </x:is>
      </x:c>
      <x:c r="B21" s="11" t="inlineStr">
        <x:is>
          <x:t xml:space="preserve">Gram-Negative (-)</x:t>
        </x:is>
      </x:c>
      <x:c r="C21" s="11" t="inlineStr">
        <x:is>
          <x:t xml:space="preserve">Curved / Spiral rod</x:t>
        </x:is>
      </x:c>
      <x:c r="D21" s="12" t="inlineStr">
        <x:is>
          <x:t xml:space="preserve">Single</x:t>
        </x:is>
      </x:c>
      <x:c r="E21" s="11" t="inlineStr">
        <x:is>
          <x:t xml:space="preserve">Positive (+)</x:t>
        </x:is>
      </x:c>
      <x:c r="F21" s="11" t="inlineStr">
        <x:is>
          <x:t xml:space="preserve">Positive (+)</x:t>
        </x:is>
      </x:c>
      <x:c r="G21" s="11" t="inlineStr">
        <x:is>
          <x:t xml:space="preserve">N/A</x:t>
        </x:is>
      </x:c>
      <x:c r="H21" s="11" t="inlineStr">
        <x:is>
          <x:t xml:space="preserve">Non-hemolytic</x:t>
        </x:is>
      </x:c>
      <x:c r="I21" s="11" t="inlineStr">
        <x:is>
          <x:t xml:space="preserve">Motile (multiple lophotrichous flagella)</x:t>
        </x:is>
      </x:c>
      <x:c r="J21" s="11" t="inlineStr">
        <x:is>
          <x:t xml:space="preserve">No</x:t>
        </x:is>
      </x:c>
      <x:c r="K21" s="11" t="inlineStr">
        <x:is>
          <x:t xml:space="preserve">Microaerophilic</x:t>
        </x:is>
      </x:c>
      <x:c r="L21" s="12" t="inlineStr">
        <x:is>
          <x:t xml:space="preserve">Rapid Urease positive (+), Oxidase (+), Catalase (+), Nitrate reduction negative</x:t>
        </x:is>
      </x:c>
      <x:c r="M21" s="12" t="inlineStr">
        <x:is>
          <x:t xml:space="preserve">None</x:t>
        </x:is>
      </x:c>
      <x:c r="N21" s="12" t="inlineStr">
        <x:is>
          <x:t xml:space="preserve">Urease enzyme (generates ammonia to neutralize gastric acid), CagA (cytotoxin-associated gene A - induces inflammation/remodeling), VacA (vacuolating cytotoxin), flagella</x:t>
        </x:is>
      </x:c>
      <x:c r="O21" s="12" t="inlineStr">
        <x:is>
          <x:t xml:space="preserve">Chronic antral gastritis, Peptic Ulcer Disease (duodenal &amp; gastric ulcers), Gastric Adenocarcinoma, Gastric MALT Lymphoma</x:t>
        </x:is>
      </x:c>
      <x:c r="P21" s="12" t="inlineStr">
        <x:is>
          <x:t xml:space="preserve">Adults worldwide (prevalence increases with age and lower socioeconomic status)</x:t>
        </x:is>
      </x:c>
      <x:c r="Q21" s="12" t="inlineStr">
        <x:is>
          <x:t xml:space="preserve">Person-to-person transmission (fecal-oral or oral-oral)</x:t>
        </x:is>
      </x:c>
      <x:c r="R21" s="12" t="inlineStr">
        <x:is>
          <x:t xml:space="preserve">Epigastric gnawing pain relieved or exacerbated by food; non-invasive Urea Breath Test or Stool Antigen Test (+); rapid urease (+) on gastric biopsy</x:t>
        </x:is>
      </x:c>
      <x:c r="S21" s="12" t="inlineStr">
        <x:is>
          <x:t xml:space="preserve">Triple therapy: PPI (e.g., Omeprazole) + Amoxicillin + Clarithromycin; or Bismuth quadruple therapy</x:t>
        </x:is>
      </x:c>
      <x:c r="T21" s="12" t="inlineStr">
        <x:is>
          <x:t xml:space="preserve">Increasing resistance to Clarithromycin and Metronidazole</x:t>
        </x:is>
      </x:c>
      <x:c r="U21" s="10" t="inlineStr">
        <x:is>
          <x:t xml:space="preserve">Rapid Urease (+), spiral rod, key etiologic agent of peptic ulcers and gastric MALT lymphoma</x:t>
        </x:is>
      </x:c>
    </x:row>
    <x:row r="22">
      <x:c r="A22" s="10" t="inlineStr">
        <x:is>
          <x:t xml:space="preserve">Morganella morganii</x:t>
        </x:is>
      </x:c>
      <x:c r="B22" s="11" t="inlineStr">
        <x:is>
          <x:t xml:space="preserve">Gram-Negative (-)</x:t>
        </x:is>
      </x:c>
      <x:c r="C22" s="11" t="inlineStr">
        <x:is>
          <x:t xml:space="preserve">Bacillus (rod)</x:t>
        </x:is>
      </x:c>
      <x:c r="D22" s="12" t="inlineStr">
        <x:is>
          <x:t xml:space="preserve">Single</x:t>
        </x:is>
      </x:c>
      <x:c r="E22" s="11" t="inlineStr">
        <x:is>
          <x:t xml:space="preserve">Positive (+)</x:t>
        </x:is>
      </x:c>
      <x:c r="F22" s="11" t="inlineStr">
        <x:is>
          <x:t xml:space="preserve">Negative (-)</x:t>
        </x:is>
      </x:c>
      <x:c r="G22" s="11" t="inlineStr">
        <x:is>
          <x:t xml:space="preserve">N/A</x:t>
        </x:is>
      </x:c>
      <x:c r="H22" s="11" t="inlineStr">
        <x:is>
          <x:t xml:space="preserve">Non-hemolytic</x:t>
        </x:is>
      </x:c>
      <x:c r="I22" s="11" t="inlineStr">
        <x:is>
          <x:t xml:space="preserve">Motile (does NOT swarm)</x:t>
        </x:is>
      </x:c>
      <x:c r="J22" s="11" t="inlineStr">
        <x:is>
          <x:t xml:space="preserve">No</x:t>
        </x:is>
      </x:c>
      <x:c r="K22" s="11" t="inlineStr">
        <x:is>
          <x:t xml:space="preserve">Facultative Anaerobe</x:t>
        </x:is>
      </x:c>
      <x:c r="L22" s="12" t="inlineStr">
        <x:is>
          <x:t xml:space="preserve">Urease positive (+), Indole positive (+), H2S negative (-), Citrate negative (-)</x:t>
        </x:is>
      </x:c>
      <x:c r="M22" s="12" t="inlineStr">
        <x:is>
          <x:t xml:space="preserve">None</x:t>
        </x:is>
      </x:c>
      <x:c r="N22" s="12" t="inlineStr">
        <x:is>
          <x:t xml:space="preserve">Urease enzyme, endotoxin, hemolysins</x:t>
        </x:is>
      </x:c>
      <x:c r="O22" s="12" t="inlineStr">
        <x:is>
          <x:t xml:space="preserve">Nosocomial UTIs, wound infections, neonatal sepsis, bacteremia</x:t>
        </x:is>
      </x:c>
      <x:c r="P22" s="12" t="inlineStr">
        <x:is>
          <x:t xml:space="preserve">Hospitalized patients, catheterized elderly, neonates</x:t>
        </x:is>
      </x:c>
      <x:c r="Q22" s="12" t="inlineStr">
        <x:is>
          <x:t xml:space="preserve">Normal intestinal flora; nosocomial environment</x:t>
        </x:is>
      </x:c>
      <x:c r="R22" s="12" t="inlineStr">
        <x:is>
          <x:t xml:space="preserve">Urease (+), Indole (+), H2S (-), Motile without swarming; opportunistic post-operative or catheter infection</x:t>
        </x:is>
      </x:c>
      <x:c r="S22" s="12" t="inlineStr">
        <x:is>
          <x:t xml:space="preserve">3rd/4th generation Cephalosporins (Cefepime), Carbapenems, Piperacillin-Tazobactam</x:t>
        </x:is>
      </x:c>
      <x:c r="T22" s="12" t="inlineStr">
        <x:is>
          <x:t xml:space="preserve">Chromosomal AmpC beta-lactamase producer (resistant to ampicillin, oxacillin, 1st/2nd gen cephalosporins)</x:t>
        </x:is>
      </x:c>
      <x:c r="U22" s="10" t="inlineStr">
        <x:is>
          <x:t xml:space="preserve">Urease (+), Indole (+), H2S (-), motile WITHOUT swarming (distinguishes from Proteus)</x:t>
        </x:is>
      </x:c>
    </x:row>
    <x:row r="23">
      <x:c r="A23" s="10" t="inlineStr">
        <x:is>
          <x:t xml:space="preserve">Providencia spp. (P. rettgeri, P. stuartii)</x:t>
        </x:is>
      </x:c>
      <x:c r="B23" s="11" t="inlineStr">
        <x:is>
          <x:t xml:space="preserve">Gram-Negative (-)</x:t>
        </x:is>
      </x:c>
      <x:c r="C23" s="11" t="inlineStr">
        <x:is>
          <x:t xml:space="preserve">Bacillus (rod)</x:t>
        </x:is>
      </x:c>
      <x:c r="D23" s="12" t="inlineStr">
        <x:is>
          <x:t xml:space="preserve">Single</x:t>
        </x:is>
      </x:c>
      <x:c r="E23" s="11" t="inlineStr">
        <x:is>
          <x:t xml:space="preserve">Positive (+)</x:t>
        </x:is>
      </x:c>
      <x:c r="F23" s="11" t="inlineStr">
        <x:is>
          <x:t xml:space="preserve">Negative (-)</x:t>
        </x:is>
      </x:c>
      <x:c r="G23" s="11" t="inlineStr">
        <x:is>
          <x:t xml:space="preserve">N/A</x:t>
        </x:is>
      </x:c>
      <x:c r="H23" s="11" t="inlineStr">
        <x:is>
          <x:t xml:space="preserve">Non-hemolytic</x:t>
        </x:is>
      </x:c>
      <x:c r="I23" s="11" t="inlineStr">
        <x:is>
          <x:t xml:space="preserve">Motile</x:t>
        </x:is>
      </x:c>
      <x:c r="J23" s="11" t="inlineStr">
        <x:is>
          <x:t xml:space="preserve">No</x:t>
        </x:is>
      </x:c>
      <x:c r="K23" s="11" t="inlineStr">
        <x:is>
          <x:t xml:space="preserve">Facultative Anaerobe</x:t>
        </x:is>
      </x:c>
      <x:c r="L23" s="12" t="inlineStr">
        <x:is>
          <x:t xml:space="preserve">Citrate positive (+), Indole positive (+), H2S negative (-), Urease variable</x:t>
        </x:is>
      </x:c>
      <x:c r="M23" s="12" t="inlineStr">
        <x:is>
          <x:t xml:space="preserve">None</x:t>
        </x:is>
      </x:c>
      <x:c r="N23" s="12" t="inlineStr">
        <x:is>
          <x:t xml:space="preserve">Endotoxin (LPS), adherence fimbriae</x:t>
        </x:is>
      </x:c>
      <x:c r="O23" s="12" t="inlineStr">
        <x:is>
          <x:t xml:space="preserve">Nosocomial UTIs (catheter-associated), burn wound infections, septicemia</x:t>
        </x:is>
      </x:c>
      <x:c r="P23" s="12" t="inlineStr">
        <x:is>
          <x:t xml:space="preserve">Elderly residents in long-term care facilities, burn unit patients, catheterized patients</x:t>
        </x:is>
      </x:c>
      <x:c r="Q23" s="12" t="inlineStr">
        <x:is>
          <x:t xml:space="preserve">Normal GI microbiota; hospital cross-contamination</x:t>
        </x:is>
      </x:c>
      <x:c r="R23" s="12" t="inlineStr">
        <x:is>
          <x:t xml:space="preserve">Indole (+), Citrate (+), H2S (-); highly antibiotic-resistant UTI in long-term catheterized elderly</x:t>
        </x:is>
      </x:c>
      <x:c r="S23" s="12" t="inlineStr">
        <x:is>
          <x:t xml:space="preserve">Carbapenems, Amikacin, Cefepime</x:t>
        </x:is>
      </x:c>
      <x:c r="T23" s="12" t="inlineStr">
        <x:is>
          <x:t xml:space="preserve">High intrinsic and acquired multidrug resistance (ESBLs, AmpC)</x:t>
        </x:is>
      </x:c>
      <x:c r="U23" s="10" t="inlineStr">
        <x:is>
          <x:t xml:space="preserve">Citrate (+), Indole (+), H2S (-), highly resistant catheter-associated UTI pathogen in elderly</x:t>
        </x:is>
      </x:c>
    </x:row>
    <x:row r="24">
      <x:c r="A24" s="10" t="inlineStr">
        <x:is>
          <x:t xml:space="preserve">Serratia marcescens</x:t>
        </x:is>
      </x:c>
      <x:c r="B24" s="11" t="inlineStr">
        <x:is>
          <x:t xml:space="preserve">Gram-Negative (-)</x:t>
        </x:is>
      </x:c>
      <x:c r="C24" s="11" t="inlineStr">
        <x:is>
          <x:t xml:space="preserve">Bacillus (rod)</x:t>
        </x:is>
      </x:c>
      <x:c r="D24" s="12" t="inlineStr">
        <x:is>
          <x:t xml:space="preserve">Single</x:t>
        </x:is>
      </x:c>
      <x:c r="E24" s="11" t="inlineStr">
        <x:is>
          <x:t xml:space="preserve">Positive (+)</x:t>
        </x:is>
      </x:c>
      <x:c r="F24" s="11" t="inlineStr">
        <x:is>
          <x:t xml:space="preserve">Negative (-)</x:t>
        </x:is>
      </x:c>
      <x:c r="G24" s="11" t="inlineStr">
        <x:is>
          <x:t xml:space="preserve">N/A</x:t>
        </x:is>
      </x:c>
      <x:c r="H24" s="11" t="inlineStr">
        <x:is>
          <x:t xml:space="preserve">Non-hemolytic</x:t>
        </x:is>
      </x:c>
      <x:c r="I24" s="11" t="inlineStr">
        <x:is>
          <x:t xml:space="preserve">Motile</x:t>
        </x:is>
      </x:c>
      <x:c r="J24" s="11" t="inlineStr">
        <x:is>
          <x:t xml:space="preserve">No</x:t>
        </x:is>
      </x:c>
      <x:c r="K24" s="11" t="inlineStr">
        <x:is>
          <x:t xml:space="preserve">Facultative Anaerobe</x:t>
        </x:is>
      </x:c>
      <x:c r="L24" s="12" t="inlineStr">
        <x:is>
          <x:t xml:space="preserve">Slow lactose fermenter, Extracellular DNase positive (+), Lipase (+), Gelatinase (+), VP positive (+)</x:t>
        </x:is>
      </x:c>
      <x:c r="M24" s="12" t="inlineStr">
        <x:is>
          <x:t xml:space="preserve">None</x:t>
        </x:is>
      </x:c>
      <x:c r="N24" s="12" t="inlineStr">
        <x:is>
          <x:t xml:space="preserve">Prodigiosin red pigment, extracellular enzymes (DNase, lipase, gelatinase), endotoxin</x:t>
        </x:is>
      </x:c>
      <x:c r="O24" s="12" t="inlineStr">
        <x:is>
          <x:t xml:space="preserve">Nosocomial UTIs, pneumonia, bacteremia, endocarditis (especially in IV drug users)</x:t>
        </x:is>
      </x:c>
      <x:c r="P24" s="12" t="inlineStr">
        <x:is>
          <x:t xml:space="preserve">Hospitalized patients receiving invasive procedures, IV drug users, patients in ICUs</x:t>
        </x:is>
      </x:c>
      <x:c r="Q24" s="12" t="inlineStr">
        <x:is>
          <x:t xml:space="preserve">Contaminated water reservoirs, IV solutions, respirators, catheters</x:t>
        </x:is>
      </x:c>
      <x:c r="R24" s="12" t="inlineStr">
        <x:is>
          <x:t xml:space="preserve">Salmon-red / red-pigmented colonies at room temperature; DNase positive (+); opportunistic nosocomial outbreaks</x:t>
        </x:is>
      </x:c>
      <x:c r="S24" s="12" t="inlineStr">
        <x:is>
          <x:t xml:space="preserve">3rd/4th generation Cephalosporins (Cefepime), Fluoroquinolones, Carbapenems</x:t>
        </x:is>
      </x:c>
      <x:c r="T24" s="12" t="inlineStr">
        <x:is>
          <x:t xml:space="preserve">Highly resistant to multiple antibiotics (AmpC beta-lactamase producer)</x:t>
        </x:is>
      </x:c>
      <x:c r="U24" s="10" t="inlineStr">
        <x:is>
          <x:t xml:space="preserve">Red-pigmented colonies (prodigiosin), DNase (+), slow lactose fermenter, IV drug user endocarditis</x:t>
        </x:is>
      </x:c>
    </x:row>
    <x:row r="25">
      <x:c r="A25" s="10" t="inlineStr">
        <x:is>
          <x:t xml:space="preserve">Yersinia enterocolitica</x:t>
        </x:is>
      </x:c>
      <x:c r="B25" s="11" t="inlineStr">
        <x:is>
          <x:t xml:space="preserve">Gram-Negative (-)</x:t>
        </x:is>
      </x:c>
      <x:c r="C25" s="11" t="inlineStr">
        <x:is>
          <x:t xml:space="preserve">Coccobacillus / Pleomorphic rod</x:t>
        </x:is>
      </x:c>
      <x:c r="D25" s="12" t="inlineStr">
        <x:is>
          <x:t xml:space="preserve">Single</x:t>
        </x:is>
      </x:c>
      <x:c r="E25" s="11" t="inlineStr">
        <x:is>
          <x:t xml:space="preserve">Positive (+)</x:t>
        </x:is>
      </x:c>
      <x:c r="F25" s="11" t="inlineStr">
        <x:is>
          <x:t xml:space="preserve">Negative (-)</x:t>
        </x:is>
      </x:c>
      <x:c r="G25" s="11" t="inlineStr">
        <x:is>
          <x:t xml:space="preserve">N/A</x:t>
        </x:is>
      </x:c>
      <x:c r="H25" s="11" t="inlineStr">
        <x:is>
          <x:t xml:space="preserve">Non-hemolytic</x:t>
        </x:is>
      </x:c>
      <x:c r="I25" s="11" t="inlineStr">
        <x:is>
          <x:t xml:space="preserve">Motile at 22–25°C, Non-motile at 37°C</x:t>
        </x:is>
      </x:c>
      <x:c r="J25" s="11" t="inlineStr">
        <x:is>
          <x:t xml:space="preserve">No</x:t>
        </x:is>
      </x:c>
      <x:c r="K25" s="11" t="inlineStr">
        <x:is>
          <x:t xml:space="preserve">Facultative Anaerobe (psychrotrophic - grows at 4°C)</x:t>
        </x:is>
      </x:c>
      <x:c r="L25" s="12" t="inlineStr">
        <x:is>
          <x:t xml:space="preserve">Lactose non-fermenter, Urease positive (+), Heat-stable enterotoxin (Y-ST)</x:t>
        </x:is>
      </x:c>
      <x:c r="M25" s="12" t="inlineStr">
        <x:is>
          <x:t xml:space="preserve">Outer membrane Yop proteins</x:t>
        </x:is>
      </x:c>
      <x:c r="N25" s="12" t="inlineStr">
        <x:is>
          <x:t xml:space="preserve">Yop proteins (injected via Type III secretion system), Y-ST enterotoxin, high-affinity iron acquisition</x:t>
        </x:is>
      </x:c>
      <x:c r="O25" s="12" t="inlineStr">
        <x:is>
          <x:t xml:space="preserve">Enterocolitis (fever, diarrhea with stool leukocytes, abdominal pain), Mesenteric adenitis (pseudoappendicitis)</x:t>
        </x:is>
      </x:c>
      <x:c r="P25" s="12" t="inlineStr">
        <x:is>
          <x:t xml:space="preserve">Children, consumers of contaminated pork products or unpasteurized milk</x:t>
        </x:is>
      </x:c>
      <x:c r="Q25" s="12" t="inlineStr">
        <x:is>
          <x:t xml:space="preserve">Contaminated pork (chitterlings), unpasteurized milk, contaminated water, pets (puppies)</x:t>
        </x:is>
      </x:c>
      <x:c r="R25" s="12" t="inlineStr">
        <x:is>
          <x:t xml:space="preserve">Motile at room temperature (25°C) but NOT at body temp (37°C); grows under refrigeration (4°C); mimics acute appendicitis (mesenteric lymphadenitis)</x:t>
        </x:is>
      </x:c>
      <x:c r="S25" s="12" t="inlineStr">
        <x:is>
          <x:t xml:space="preserve">Fluids; Ciprofloxacin, TMP-SMX, or Aminoglycosides for severe/systemic cases</x:t>
        </x:is>
      </x:c>
      <x:c r="T25" s="12" t="inlineStr">
        <x:is>
          <x:t xml:space="preserve">Chromosomal AmpC beta-lactamase producer</x:t>
        </x:is>
      </x:c>
      <x:c r="U25" s="10" t="inlineStr">
        <x:is>
          <x:t xml:space="preserve">Motility temperature-dependent (25°C vs 37°C), grows at 4°C, mesenteric adenitis mimicking appendicitis</x:t>
        </x:is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70" hidden="0" customWidth="1"/>
    <x:col min="3" max="3" width="31" hidden="0" customWidth="1"/>
    <x:col min="4" max="4" width="32" hidden="0" customWidth="1"/>
    <x:col min="5" max="5" width="28" hidden="0" customWidth="1"/>
    <x:col min="6" max="6" width="30" hidden="0" customWidth="1"/>
  </x:cols>
  <x:sheetData>
    <x:row r="1" ht="28" customHeight="1">
      <x:c r="A1" s="28" t="str">
        <x:v>Bacteria Swipe Game — Editable Database</x:v>
      </x:c>
      <x:c r="B1" s="28"/>
      <x:c r="C1" s="28"/>
      <x:c r="D1" s="28"/>
      <x:c r="E1" s="28"/>
      <x:c r="F1" s="28"/>
    </x:row>
    <x:row r="3">
      <x:c r="A3" s="34" t="str">
        <x:v>Recommended setup: Google Sheets = editable database; shared web app = read-only player.</x:v>
      </x:c>
      <x:c r="B3" s="34"/>
      <x:c r="C3" s="34"/>
      <x:c r="D3" s="34"/>
      <x:c r="E3" s="34"/>
      <x:c r="F3" s="34"/>
    </x:row>
    <x:row r="5">
      <x:c r="A5" s="42" t="str">
        <x:v>Step</x:v>
      </x:c>
      <x:c r="B5" s="42" t="str">
        <x:v>What you do</x:v>
      </x:c>
      <x:c r="C5" s="42" t="str">
        <x:v>Why it matters</x:v>
      </x:c>
      <x:c r="D5" s="42" t="str">
        <x:v>Example</x:v>
      </x:c>
      <x:c r="E5" s="42" t="str">
        <x:v>Do not</x:v>
      </x:c>
      <x:c r="F5" s="42" t="str">
        <x:v>App effect</x:v>
      </x:c>
    </x:row>
    <x:row r="6">
      <x:c r="A6" s="48" t="str">
        <x:v>1</x:v>
      </x:c>
      <x:c r="B6" s="48" t="str">
        <x:v>Add a bacterium in the Organisms sheet.</x:v>
      </x:c>
      <x:c r="C6" s="48" t="str">
        <x:v>Creates one stable organism record.</x:v>
      </x:c>
      <x:c r="D6" s="48" t="str">
        <x:v>ORG025 | Moraxella catarrhalis</x:v>
      </x:c>
      <x:c r="E6" s="48" t="str">
        <x:v>Reuse or change an existing organism_id.</x:v>
      </x:c>
      <x:c r="F6" s="48" t="str">
        <x:v>The app can recognize the new organism.</x:v>
      </x:c>
    </x:row>
    <x:row r="7">
      <x:c r="A7" s="48" t="str">
        <x:v>2</x:v>
      </x:c>
      <x:c r="B7" s="48" t="str">
        <x:v>Add one fact/question per row in Swipe Questions.</x:v>
      </x:c>
      <x:c r="C7" s="48" t="str">
        <x:v>The question bank can grow without adding new columns.</x:v>
      </x:c>
      <x:c r="D7" s="48" t="str">
        <x:v>Moraxella | Oxidase positive? | TRUE</x:v>
      </x:c>
      <x:c r="E7" s="48" t="str">
        <x:v>Put several facts in one prompt.</x:v>
      </x:c>
      <x:c r="F7" s="48" t="str">
        <x:v>The new fact becomes eligible for play.</x:v>
      </x:c>
    </x:row>
    <x:row r="8">
      <x:c r="A8" s="48" t="str">
        <x:v>3</x:v>
      </x:c>
      <x:c r="B8" s="48" t="str">
        <x:v>Set Active to FALSE instead of deleting old rows.</x:v>
      </x:c>
      <x:c r="C8" s="48" t="str">
        <x:v>Keeps history and avoids broken references.</x:v>
      </x:c>
      <x:c r="D8" s="48" t="str">
        <x:v>FALSE</x:v>
      </x:c>
      <x:c r="E8" s="48" t="str">
        <x:v>Delete IDs after the app is shared.</x:v>
      </x:c>
      <x:c r="F8" s="48" t="str">
        <x:v>The app ignores retired content.</x:v>
      </x:c>
    </x:row>
    <x:row r="9">
      <x:c r="A9" s="48" t="str">
        <x:v>4</x:v>
      </x:c>
      <x:c r="B9" s="48" t="str">
        <x:v>Record the lecture/source and slide/page when possible.</x:v>
      </x:c>
      <x:c r="C9" s="48" t="str">
        <x:v>Makes review and correction easy.</x:v>
      </x:c>
      <x:c r="D9" s="48" t="str">
        <x:v>Bacterial Morphology lecture | slide 22</x:v>
      </x:c>
      <x:c r="E9" s="48" t="str">
        <x:v>Rely on memory if the slide is available.</x:v>
      </x:c>
      <x:c r="F9" s="48" t="str">
        <x:v>Explanations can show provenance.</x:v>
      </x:c>
    </x:row>
    <x:row r="10">
      <x:c r="A10" s="48" t="str">
        <x:v>5</x:v>
      </x:c>
      <x:c r="B10" s="48" t="str">
        <x:v>Upload this workbook to Google Drive and open it as Google Sheets.</x:v>
      </x:c>
      <x:c r="C10" s="48" t="str">
        <x:v>Lets you edit from any device and collaborate.</x:v>
      </x:c>
      <x:c r="D10" s="48" t="str">
        <x:v>File → Save as Google Sheets</x:v>
      </x:c>
      <x:c r="E10" s="48" t="str">
        <x:v>Give everyone edit access to the source DB.</x:v>
      </x:c>
      <x:c r="F10" s="48" t="str">
        <x:v>Your private sheet stays the admin source.</x:v>
      </x:c>
    </x:row>
    <x:row r="11">
      <x:c r="A11" s="48" t="str">
        <x:v>6</x:v>
      </x:c>
      <x:c r="B11" s="48" t="str">
        <x:v>Publish only the app-facing sheet or expose it through a small Apps Script endpoint.</x:v>
      </x:c>
      <x:c r="C11" s="48" t="str">
        <x:v>Students can read data without editing it.</x:v>
      </x:c>
      <x:c r="D11" s="48" t="str">
        <x:v>Swipe Questions + Organisms</x:v>
      </x:c>
      <x:c r="E11" s="48" t="str">
        <x:v>Publish private/student data.</x:v>
      </x:c>
      <x:c r="F11" s="48" t="str">
        <x:v>App updates when the sheet data updates.</x:v>
      </x:c>
    </x:row>
    <x:row r="13">
      <x:c r="A13" s="34" t="str">
        <x:v>Database rules</x:v>
      </x:c>
      <x:c r="B13" s="34"/>
      <x:c r="C13" s="34"/>
      <x:c r="D13" s="34"/>
      <x:c r="E13" s="34"/>
      <x:c r="F13" s="34"/>
    </x:row>
    <x:row r="14">
      <x:c r="A14" s="42" t="str">
        <x:v>Rule</x:v>
      </x:c>
      <x:c r="B14" s="42" t="str">
        <x:v>Details</x:v>
      </x:c>
    </x:row>
    <x:row r="15">
      <x:c r="A15" s="48" t="str">
        <x:v>One question = one binary claim</x:v>
      </x:c>
      <x:c r="B15" s="48" t="str">
        <x:v>Prompts should be answerable by a left/right Yes/No swipe.</x:v>
      </x:c>
    </x:row>
    <x:row r="16">
      <x:c r="A16" s="48" t="str">
        <x:v>Keep IDs stable</x:v>
      </x:c>
      <x:c r="B16" s="48" t="str">
        <x:v>organism_id and question_id should never be changed after sharing the app.</x:v>
      </x:c>
    </x:row>
    <x:row r="17">
      <x:c r="A17" s="48" t="str">
        <x:v>Prefer FALSE over deletion</x:v>
      </x:c>
      <x:c r="B17" s="48" t="str">
        <x:v>Use Active=FALSE when a fact is outdated or temporarily excluded.</x:v>
      </x:c>
    </x:row>
    <x:row r="18">
      <x:c r="A18" s="48" t="str">
        <x:v>Source every new fact</x:v>
      </x:c>
      <x:c r="B18" s="48" t="str">
        <x:v>Use Source and Source Slide so you can trace why the answer is correct.</x:v>
      </x:c>
    </x:row>
    <x:row r="19">
      <x:c r="A19" s="48" t="str">
        <x:v>Use explanations</x:v>
      </x:c>
      <x:c r="B19" s="48" t="str">
        <x:v>A short explanation should appear after a wrong answer and can optionally appear after a correct answer.</x:v>
      </x:c>
    </x:row>
  </x:sheetData>
  <x:mergeCells>
    <x:mergeCell ref="A1:F1"/>
    <x:mergeCell ref="A3:F3"/>
    <x:mergeCell ref="A13:F13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38" hidden="0" customWidth="1"/>
    <x:col min="3" max="3" width="20" hidden="0" customWidth="1"/>
    <x:col min="4" max="4" width="32" hidden="0" customWidth="1"/>
    <x:col min="5" max="5" width="24" hidden="0" customWidth="1"/>
    <x:col min="6" max="6" width="10" hidden="0" customWidth="1"/>
    <x:col min="7" max="7" width="14" hidden="0" customWidth="1"/>
    <x:col min="8" max="8" width="16" hidden="0" customWidth="1"/>
    <x:col min="9" max="9" width="30" hidden="0" customWidth="1"/>
  </x:cols>
  <x:sheetData>
    <x:row r="1">
      <x:c r="A1" s="42" t="str">
        <x:v>organism_id</x:v>
      </x:c>
      <x:c r="B1" s="42" t="str">
        <x:v>organism_name</x:v>
      </x:c>
      <x:c r="C1" s="42" t="str">
        <x:v>gram_stain</x:v>
      </x:c>
      <x:c r="D1" s="42" t="str">
        <x:v>morphology</x:v>
      </x:c>
      <x:c r="E1" s="42" t="str">
        <x:v>arrangement</x:v>
      </x:c>
      <x:c r="F1" s="42" t="str">
        <x:v>active</x:v>
      </x:c>
      <x:c r="G1" s="42" t="str">
        <x:v>question_count</x:v>
      </x:c>
      <x:c r="H1" s="42" t="str">
        <x:v>game_status</x:v>
      </x:c>
      <x:c r="I1" s="42" t="str">
        <x:v>notes</x:v>
      </x:c>
    </x:row>
    <x:row r="2">
      <x:c r="A2" s="48" t="str">
        <x:v>ORG001</x:v>
      </x:c>
      <x:c r="B2" s="48" t="str">
        <x:v>Staphylococcus aureus</x:v>
      </x:c>
      <x:c r="C2" s="48" t="str">
        <x:v>Gram-Positive (+)</x:v>
      </x:c>
      <x:c r="D2" s="48" t="str">
        <x:v>Coccus</x:v>
      </x:c>
      <x:c r="E2" s="48" t="str">
        <x:v>Grape-like clusters</x:v>
      </x:c>
      <x:c r="F2" s="48" t="str">
        <x:v>TRUE</x:v>
      </x:c>
      <x:c r="G2" s="48" t="n">
        <x:f>COUNTIFS('Swipe Questions'!$B$2:$B$239,A2,'Swipe Questions'!$L$2:$L$239,"TRUE")</x:f>
        <x:v>10</x:v>
      </x:c>
      <x:c r="H2" s="48" t="str">
        <x:f>IF(G2&gt;='App Settings'!$B$9,"Ready","Add questions")</x:f>
        <x:v>Ready</x:v>
      </x:c>
      <x:c r="I2" s="48" t="str"/>
    </x:row>
    <x:row r="3">
      <x:c r="A3" s="48" t="str">
        <x:v>ORG002</x:v>
      </x:c>
      <x:c r="B3" s="48" t="str">
        <x:v>Staphylococcus epidermidis</x:v>
      </x:c>
      <x:c r="C3" s="48" t="str">
        <x:v>Gram-Positive (+)</x:v>
      </x:c>
      <x:c r="D3" s="48" t="str">
        <x:v>Coccus</x:v>
      </x:c>
      <x:c r="E3" s="48" t="str">
        <x:v>Clusters</x:v>
      </x:c>
      <x:c r="F3" s="48" t="str">
        <x:v>TRUE</x:v>
      </x:c>
      <x:c r="G3" s="48" t="n">
        <x:f>COUNTIFS('Swipe Questions'!$B$2:$B$239,A3,'Swipe Questions'!$L$2:$L$239,"TRUE")</x:f>
        <x:v>9</x:v>
      </x:c>
      <x:c r="H3" s="48" t="str">
        <x:f>IF(G3&gt;='App Settings'!$B$9,"Ready","Add questions")</x:f>
        <x:v>Ready</x:v>
      </x:c>
      <x:c r="I3" s="48" t="str"/>
    </x:row>
    <x:row r="4">
      <x:c r="A4" s="48" t="str">
        <x:v>ORG003</x:v>
      </x:c>
      <x:c r="B4" s="48" t="str">
        <x:v>Staphylococcus saprophyticus</x:v>
      </x:c>
      <x:c r="C4" s="48" t="str">
        <x:v>Gram-Positive (+)</x:v>
      </x:c>
      <x:c r="D4" s="48" t="str">
        <x:v>Coccus</x:v>
      </x:c>
      <x:c r="E4" s="48" t="str">
        <x:v>Clusters</x:v>
      </x:c>
      <x:c r="F4" s="48" t="str">
        <x:v>TRUE</x:v>
      </x:c>
      <x:c r="G4" s="48" t="n">
        <x:f>COUNTIFS('Swipe Questions'!$B$2:$B$239,A4,'Swipe Questions'!$L$2:$L$239,"TRUE")</x:f>
        <x:v>9</x:v>
      </x:c>
      <x:c r="H4" s="48" t="str">
        <x:f>IF(G4&gt;='App Settings'!$B$9,"Ready","Add questions")</x:f>
        <x:v>Ready</x:v>
      </x:c>
      <x:c r="I4" s="48" t="str"/>
    </x:row>
    <x:row r="5">
      <x:c r="A5" s="48" t="str">
        <x:v>ORG004</x:v>
      </x:c>
      <x:c r="B5" s="48" t="str">
        <x:v>Streptococcus pyogenes (GAS)</x:v>
      </x:c>
      <x:c r="C5" s="48" t="str">
        <x:v>Gram-Positive (+)</x:v>
      </x:c>
      <x:c r="D5" s="48" t="str">
        <x:v>Coccus</x:v>
      </x:c>
      <x:c r="E5" s="48" t="str">
        <x:v>Chains or pairs</x:v>
      </x:c>
      <x:c r="F5" s="48" t="str">
        <x:v>TRUE</x:v>
      </x:c>
      <x:c r="G5" s="48" t="n">
        <x:f>COUNTIFS('Swipe Questions'!$B$2:$B$239,A5,'Swipe Questions'!$L$2:$L$239,"TRUE")</x:f>
        <x:v>10</x:v>
      </x:c>
      <x:c r="H5" s="48" t="str">
        <x:f>IF(G5&gt;='App Settings'!$B$9,"Ready","Add questions")</x:f>
        <x:v>Ready</x:v>
      </x:c>
      <x:c r="I5" s="48" t="str"/>
    </x:row>
    <x:row r="6">
      <x:c r="A6" s="48" t="str">
        <x:v>ORG005</x:v>
      </x:c>
      <x:c r="B6" s="48" t="str">
        <x:v>Streptococcus agalactiae (GBS)</x:v>
      </x:c>
      <x:c r="C6" s="48" t="str">
        <x:v>Gram-Positive (+)</x:v>
      </x:c>
      <x:c r="D6" s="48" t="str">
        <x:v>Coccus</x:v>
      </x:c>
      <x:c r="E6" s="48" t="str">
        <x:v>Chains or pairs</x:v>
      </x:c>
      <x:c r="F6" s="48" t="str">
        <x:v>TRUE</x:v>
      </x:c>
      <x:c r="G6" s="48" t="n">
        <x:f>COUNTIFS('Swipe Questions'!$B$2:$B$239,A6,'Swipe Questions'!$L$2:$L$239,"TRUE")</x:f>
        <x:v>11</x:v>
      </x:c>
      <x:c r="H6" s="48" t="str">
        <x:f>IF(G6&gt;='App Settings'!$B$9,"Ready","Add questions")</x:f>
        <x:v>Ready</x:v>
      </x:c>
      <x:c r="I6" s="48" t="str"/>
    </x:row>
    <x:row r="7">
      <x:c r="A7" s="48" t="str">
        <x:v>ORG006</x:v>
      </x:c>
      <x:c r="B7" s="48" t="str">
        <x:v>Streptococcus pneumoniae</x:v>
      </x:c>
      <x:c r="C7" s="48" t="str">
        <x:v>Gram-Positive (+)</x:v>
      </x:c>
      <x:c r="D7" s="48" t="str">
        <x:v>Lancet-shaped diplococcus</x:v>
      </x:c>
      <x:c r="E7" s="48" t="str">
        <x:v>Pairs or short chains</x:v>
      </x:c>
      <x:c r="F7" s="48" t="str">
        <x:v>TRUE</x:v>
      </x:c>
      <x:c r="G7" s="48" t="n">
        <x:f>COUNTIFS('Swipe Questions'!$B$2:$B$239,A7,'Swipe Questions'!$L$2:$L$239,"TRUE")</x:f>
        <x:v>10</x:v>
      </x:c>
      <x:c r="H7" s="48" t="str">
        <x:f>IF(G7&gt;='App Settings'!$B$9,"Ready","Add questions")</x:f>
        <x:v>Ready</x:v>
      </x:c>
      <x:c r="I7" s="48" t="str"/>
    </x:row>
    <x:row r="8">
      <x:c r="A8" s="48" t="str">
        <x:v>ORG007</x:v>
      </x:c>
      <x:c r="B8" s="48" t="str">
        <x:v>Viridans Group Streptococci (S. mutans, S. sanguinis)</x:v>
      </x:c>
      <x:c r="C8" s="48" t="str">
        <x:v>Gram-Positive (+)</x:v>
      </x:c>
      <x:c r="D8" s="48" t="str">
        <x:v>Coccus</x:v>
      </x:c>
      <x:c r="E8" s="48" t="str">
        <x:v>Chains or pairs</x:v>
      </x:c>
      <x:c r="F8" s="48" t="str">
        <x:v>TRUE</x:v>
      </x:c>
      <x:c r="G8" s="48" t="n">
        <x:f>COUNTIFS('Swipe Questions'!$B$2:$B$239,A8,'Swipe Questions'!$L$2:$L$239,"TRUE")</x:f>
        <x:v>9</x:v>
      </x:c>
      <x:c r="H8" s="48" t="str">
        <x:f>IF(G8&gt;='App Settings'!$B$9,"Ready","Add questions")</x:f>
        <x:v>Ready</x:v>
      </x:c>
      <x:c r="I8" s="48" t="str"/>
    </x:row>
    <x:row r="9">
      <x:c r="A9" s="48" t="str">
        <x:v>ORG008</x:v>
      </x:c>
      <x:c r="B9" s="48" t="str">
        <x:v>Enterococcus faecalis / Enterococcus faecium</x:v>
      </x:c>
      <x:c r="C9" s="48" t="str">
        <x:v>Gram-Positive (+)</x:v>
      </x:c>
      <x:c r="D9" s="48" t="str">
        <x:v>Coccus</x:v>
      </x:c>
      <x:c r="E9" s="48" t="str">
        <x:v>Pairs or short chains</x:v>
      </x:c>
      <x:c r="F9" s="48" t="str">
        <x:v>TRUE</x:v>
      </x:c>
      <x:c r="G9" s="48" t="n">
        <x:f>COUNTIFS('Swipe Questions'!$B$2:$B$239,A9,'Swipe Questions'!$L$2:$L$239,"TRUE")</x:f>
        <x:v>10</x:v>
      </x:c>
      <x:c r="H9" s="48" t="str">
        <x:f>IF(G9&gt;='App Settings'!$B$9,"Ready","Add questions")</x:f>
        <x:v>Ready</x:v>
      </x:c>
      <x:c r="I9" s="48" t="str"/>
    </x:row>
    <x:row r="10">
      <x:c r="A10" s="48" t="str">
        <x:v>ORG009</x:v>
      </x:c>
      <x:c r="B10" s="48" t="str">
        <x:v>Streptococcus bovis / Streptococcus gallolyticus</x:v>
      </x:c>
      <x:c r="C10" s="48" t="str">
        <x:v>Gram-Positive (+)</x:v>
      </x:c>
      <x:c r="D10" s="48" t="str">
        <x:v>Coccus</x:v>
      </x:c>
      <x:c r="E10" s="48" t="str">
        <x:v>Chains or pairs</x:v>
      </x:c>
      <x:c r="F10" s="48" t="str">
        <x:v>TRUE</x:v>
      </x:c>
      <x:c r="G10" s="48" t="n">
        <x:f>COUNTIFS('Swipe Questions'!$B$2:$B$239,A10,'Swipe Questions'!$L$2:$L$239,"TRUE")</x:f>
        <x:v>10</x:v>
      </x:c>
      <x:c r="H10" s="48" t="str">
        <x:f>IF(G10&gt;='App Settings'!$B$9,"Ready","Add questions")</x:f>
        <x:v>Ready</x:v>
      </x:c>
      <x:c r="I10" s="48" t="str"/>
    </x:row>
    <x:row r="11">
      <x:c r="A11" s="48" t="str">
        <x:v>ORG010</x:v>
      </x:c>
      <x:c r="B11" s="48" t="str">
        <x:v>Neisseria meningitidis</x:v>
      </x:c>
      <x:c r="C11" s="48" t="str">
        <x:v>Gram-Negative (-)</x:v>
      </x:c>
      <x:c r="D11" s="48" t="str">
        <x:v>Diplococcus (kidney-bean shaped)</x:v>
      </x:c>
      <x:c r="E11" s="48" t="str">
        <x:v>Pairs</x:v>
      </x:c>
      <x:c r="F11" s="48" t="str">
        <x:v>TRUE</x:v>
      </x:c>
      <x:c r="G11" s="48" t="n">
        <x:f>COUNTIFS('Swipe Questions'!$B$2:$B$239,A11,'Swipe Questions'!$L$2:$L$239,"TRUE")</x:f>
        <x:v>9</x:v>
      </x:c>
      <x:c r="H11" s="48" t="str">
        <x:f>IF(G11&gt;='App Settings'!$B$9,"Ready","Add questions")</x:f>
        <x:v>Ready</x:v>
      </x:c>
      <x:c r="I11" s="48" t="str"/>
    </x:row>
    <x:row r="12">
      <x:c r="A12" s="48" t="str">
        <x:v>ORG011</x:v>
      </x:c>
      <x:c r="B12" s="48" t="str">
        <x:v>Neisseria gonorrhoeae</x:v>
      </x:c>
      <x:c r="C12" s="48" t="str">
        <x:v>Gram-Negative (-)</x:v>
      </x:c>
      <x:c r="D12" s="48" t="str">
        <x:v>Diplococcus (kidney-bean shaped, intracellular in PMNs)</x:v>
      </x:c>
      <x:c r="E12" s="48" t="str">
        <x:v>Pairs</x:v>
      </x:c>
      <x:c r="F12" s="48" t="str">
        <x:v>TRUE</x:v>
      </x:c>
      <x:c r="G12" s="48" t="n">
        <x:f>COUNTIFS('Swipe Questions'!$B$2:$B$239,A12,'Swipe Questions'!$L$2:$L$239,"TRUE")</x:f>
        <x:v>8</x:v>
      </x:c>
      <x:c r="H12" s="48" t="str">
        <x:f>IF(G12&gt;='App Settings'!$B$9,"Ready","Add questions")</x:f>
        <x:v>Ready</x:v>
      </x:c>
      <x:c r="I12" s="48" t="str"/>
    </x:row>
    <x:row r="13">
      <x:c r="A13" s="48" t="str">
        <x:v>ORG012</x:v>
      </x:c>
      <x:c r="B13" s="48" t="str">
        <x:v>Escherichia coli</x:v>
      </x:c>
      <x:c r="C13" s="48" t="str">
        <x:v>Gram-Negative (-)</x:v>
      </x:c>
      <x:c r="D13" s="48" t="str">
        <x:v>Bacillus (rod)</x:v>
      </x:c>
      <x:c r="E13" s="48" t="str">
        <x:v>Single / random</x:v>
      </x:c>
      <x:c r="F13" s="48" t="str">
        <x:v>TRUE</x:v>
      </x:c>
      <x:c r="G13" s="48" t="n">
        <x:f>COUNTIFS('Swipe Questions'!$B$2:$B$239,A13,'Swipe Questions'!$L$2:$L$239,"TRUE")</x:f>
        <x:v>11</x:v>
      </x:c>
      <x:c r="H13" s="48" t="str">
        <x:f>IF(G13&gt;='App Settings'!$B$9,"Ready","Add questions")</x:f>
        <x:v>Ready</x:v>
      </x:c>
      <x:c r="I13" s="48" t="str"/>
    </x:row>
    <x:row r="14">
      <x:c r="A14" s="48" t="str">
        <x:v>ORG013</x:v>
      </x:c>
      <x:c r="B14" s="48" t="str">
        <x:v>Klebsiella pneumoniae</x:v>
      </x:c>
      <x:c r="C14" s="48" t="str">
        <x:v>Gram-Negative (-)</x:v>
      </x:c>
      <x:c r="D14" s="48" t="str">
        <x:v>Bacillus (rod)</x:v>
      </x:c>
      <x:c r="E14" s="48" t="str">
        <x:v>Single / pairs</x:v>
      </x:c>
      <x:c r="F14" s="48" t="str">
        <x:v>TRUE</x:v>
      </x:c>
      <x:c r="G14" s="48" t="n">
        <x:f>COUNTIFS('Swipe Questions'!$B$2:$B$239,A14,'Swipe Questions'!$L$2:$L$239,"TRUE")</x:f>
        <x:v>10</x:v>
      </x:c>
      <x:c r="H14" s="48" t="str">
        <x:f>IF(G14&gt;='App Settings'!$B$9,"Ready","Add questions")</x:f>
        <x:v>Ready</x:v>
      </x:c>
      <x:c r="I14" s="48" t="str"/>
    </x:row>
    <x:row r="15">
      <x:c r="A15" s="48" t="str">
        <x:v>ORG014</x:v>
      </x:c>
      <x:c r="B15" s="48" t="str">
        <x:v>Proteus mirabilis / Proteus vulgaris</x:v>
      </x:c>
      <x:c r="C15" s="48" t="str">
        <x:v>Gram-Negative (-)</x:v>
      </x:c>
      <x:c r="D15" s="48" t="str">
        <x:v>Bacillus (rod)</x:v>
      </x:c>
      <x:c r="E15" s="48" t="str">
        <x:v>Single</x:v>
      </x:c>
      <x:c r="F15" s="48" t="str">
        <x:v>TRUE</x:v>
      </x:c>
      <x:c r="G15" s="48" t="n">
        <x:f>COUNTIFS('Swipe Questions'!$B$2:$B$239,A15,'Swipe Questions'!$L$2:$L$239,"TRUE")</x:f>
        <x:v>10</x:v>
      </x:c>
      <x:c r="H15" s="48" t="str">
        <x:f>IF(G15&gt;='App Settings'!$B$9,"Ready","Add questions")</x:f>
        <x:v>Ready</x:v>
      </x:c>
      <x:c r="I15" s="48" t="str"/>
    </x:row>
    <x:row r="16">
      <x:c r="A16" s="48" t="str">
        <x:v>ORG015</x:v>
      </x:c>
      <x:c r="B16" s="48" t="str">
        <x:v>Pseudomonas aeruginosa</x:v>
      </x:c>
      <x:c r="C16" s="48" t="str">
        <x:v>Gram-Negative (-)</x:v>
      </x:c>
      <x:c r="D16" s="48" t="str">
        <x:v>Bacillus (rod)</x:v>
      </x:c>
      <x:c r="E16" s="48" t="str">
        <x:v>Single / pairs</x:v>
      </x:c>
      <x:c r="F16" s="48" t="str">
        <x:v>TRUE</x:v>
      </x:c>
      <x:c r="G16" s="48" t="n">
        <x:f>COUNTIFS('Swipe Questions'!$B$2:$B$239,A16,'Swipe Questions'!$L$2:$L$239,"TRUE")</x:f>
        <x:v>9</x:v>
      </x:c>
      <x:c r="H16" s="48" t="str">
        <x:f>IF(G16&gt;='App Settings'!$B$9,"Ready","Add questions")</x:f>
        <x:v>Ready</x:v>
      </x:c>
      <x:c r="I16" s="48" t="str"/>
    </x:row>
    <x:row r="17">
      <x:c r="A17" s="48" t="str">
        <x:v>ORG016</x:v>
      </x:c>
      <x:c r="B17" s="48" t="str">
        <x:v>Vibrio cholerae</x:v>
      </x:c>
      <x:c r="C17" s="48" t="str">
        <x:v>Gram-Negative (-)</x:v>
      </x:c>
      <x:c r="D17" s="48" t="str">
        <x:v>Curved / Comma-shaped rod</x:v>
      </x:c>
      <x:c r="E17" s="48" t="str">
        <x:v>Single</x:v>
      </x:c>
      <x:c r="F17" s="48" t="str">
        <x:v>TRUE</x:v>
      </x:c>
      <x:c r="G17" s="48" t="n">
        <x:f>COUNTIFS('Swipe Questions'!$B$2:$B$239,A17,'Swipe Questions'!$L$2:$L$239,"TRUE")</x:f>
        <x:v>8</x:v>
      </x:c>
      <x:c r="H17" s="48" t="str">
        <x:f>IF(G17&gt;='App Settings'!$B$9,"Ready","Add questions")</x:f>
        <x:v>Ready</x:v>
      </x:c>
      <x:c r="I17" s="48" t="str"/>
    </x:row>
    <x:row r="18">
      <x:c r="A18" s="48" t="str">
        <x:v>ORG017</x:v>
      </x:c>
      <x:c r="B18" s="48" t="str">
        <x:v>Salmonella spp. (S. enterica, S. typhi)</x:v>
      </x:c>
      <x:c r="C18" s="48" t="str">
        <x:v>Gram-Negative (-)</x:v>
      </x:c>
      <x:c r="D18" s="48" t="str">
        <x:v>Bacillus (rod)</x:v>
      </x:c>
      <x:c r="E18" s="48" t="str">
        <x:v>Single</x:v>
      </x:c>
      <x:c r="F18" s="48" t="str">
        <x:v>TRUE</x:v>
      </x:c>
      <x:c r="G18" s="48" t="n">
        <x:f>COUNTIFS('Swipe Questions'!$B$2:$B$239,A18,'Swipe Questions'!$L$2:$L$239,"TRUE")</x:f>
        <x:v>12</x:v>
      </x:c>
      <x:c r="H18" s="48" t="str">
        <x:f>IF(G18&gt;='App Settings'!$B$9,"Ready","Add questions")</x:f>
        <x:v>Ready</x:v>
      </x:c>
      <x:c r="I18" s="48" t="str"/>
    </x:row>
    <x:row r="19">
      <x:c r="A19" s="48" t="str">
        <x:v>ORG018</x:v>
      </x:c>
      <x:c r="B19" s="48" t="str">
        <x:v>Shigella spp. (S. dysenteriae, S. flexneri, S. sonnei)</x:v>
      </x:c>
      <x:c r="C19" s="48" t="str">
        <x:v>Gram-Negative (-)</x:v>
      </x:c>
      <x:c r="D19" s="48" t="str">
        <x:v>Bacillus (rod)</x:v>
      </x:c>
      <x:c r="E19" s="48" t="str">
        <x:v>Single</x:v>
      </x:c>
      <x:c r="F19" s="48" t="str">
        <x:v>TRUE</x:v>
      </x:c>
      <x:c r="G19" s="48" t="n">
        <x:f>COUNTIFS('Swipe Questions'!$B$2:$B$239,A19,'Swipe Questions'!$L$2:$L$239,"TRUE")</x:f>
        <x:v>10</x:v>
      </x:c>
      <x:c r="H19" s="48" t="str">
        <x:f>IF(G19&gt;='App Settings'!$B$9,"Ready","Add questions")</x:f>
        <x:v>Ready</x:v>
      </x:c>
      <x:c r="I19" s="48" t="str"/>
    </x:row>
    <x:row r="20">
      <x:c r="A20" s="48" t="str">
        <x:v>ORG019</x:v>
      </x:c>
      <x:c r="B20" s="48" t="str">
        <x:v>Campylobacter jejuni</x:v>
      </x:c>
      <x:c r="C20" s="48" t="str">
        <x:v>Gram-Negative (-)</x:v>
      </x:c>
      <x:c r="D20" s="48" t="str">
        <x:v>Curved / Comma or S-shaped rod ('seagull wing')</x:v>
      </x:c>
      <x:c r="E20" s="48" t="str">
        <x:v>Single or pairs</x:v>
      </x:c>
      <x:c r="F20" s="48" t="str">
        <x:v>TRUE</x:v>
      </x:c>
      <x:c r="G20" s="48" t="n">
        <x:f>COUNTIFS('Swipe Questions'!$B$2:$B$239,A20,'Swipe Questions'!$L$2:$L$239,"TRUE")</x:f>
        <x:v>11</x:v>
      </x:c>
      <x:c r="H20" s="48" t="str">
        <x:f>IF(G20&gt;='App Settings'!$B$9,"Ready","Add questions")</x:f>
        <x:v>Ready</x:v>
      </x:c>
      <x:c r="I20" s="48" t="str"/>
    </x:row>
    <x:row r="21">
      <x:c r="A21" s="48" t="str">
        <x:v>ORG020</x:v>
      </x:c>
      <x:c r="B21" s="48" t="str">
        <x:v>Helicobacter pylori</x:v>
      </x:c>
      <x:c r="C21" s="48" t="str">
        <x:v>Gram-Negative (-)</x:v>
      </x:c>
      <x:c r="D21" s="48" t="str">
        <x:v>Curved / Spiral rod</x:v>
      </x:c>
      <x:c r="E21" s="48" t="str">
        <x:v>Single</x:v>
      </x:c>
      <x:c r="F21" s="48" t="str">
        <x:v>TRUE</x:v>
      </x:c>
      <x:c r="G21" s="48" t="n">
        <x:f>COUNTIFS('Swipe Questions'!$B$2:$B$239,A21,'Swipe Questions'!$L$2:$L$239,"TRUE")</x:f>
        <x:v>10</x:v>
      </x:c>
      <x:c r="H21" s="48" t="str">
        <x:f>IF(G21&gt;='App Settings'!$B$9,"Ready","Add questions")</x:f>
        <x:v>Ready</x:v>
      </x:c>
      <x:c r="I21" s="48" t="str"/>
    </x:row>
    <x:row r="22">
      <x:c r="A22" s="48" t="str">
        <x:v>ORG021</x:v>
      </x:c>
      <x:c r="B22" s="48" t="str">
        <x:v>Morganella morganii</x:v>
      </x:c>
      <x:c r="C22" s="48" t="str">
        <x:v>Gram-Negative (-)</x:v>
      </x:c>
      <x:c r="D22" s="48" t="str">
        <x:v>Bacillus (rod)</x:v>
      </x:c>
      <x:c r="E22" s="48" t="str">
        <x:v>Single</x:v>
      </x:c>
      <x:c r="F22" s="48" t="str">
        <x:v>TRUE</x:v>
      </x:c>
      <x:c r="G22" s="48" t="n">
        <x:f>COUNTIFS('Swipe Questions'!$B$2:$B$239,A22,'Swipe Questions'!$L$2:$L$239,"TRUE")</x:f>
        <x:v>12</x:v>
      </x:c>
      <x:c r="H22" s="48" t="str">
        <x:f>IF(G22&gt;='App Settings'!$B$9,"Ready","Add questions")</x:f>
        <x:v>Ready</x:v>
      </x:c>
      <x:c r="I22" s="48" t="str"/>
    </x:row>
    <x:row r="23">
      <x:c r="A23" s="48" t="str">
        <x:v>ORG022</x:v>
      </x:c>
      <x:c r="B23" s="48" t="str">
        <x:v>Providencia spp. (P. rettgeri, P. stuartii)</x:v>
      </x:c>
      <x:c r="C23" s="48" t="str">
        <x:v>Gram-Negative (-)</x:v>
      </x:c>
      <x:c r="D23" s="48" t="str">
        <x:v>Bacillus (rod)</x:v>
      </x:c>
      <x:c r="E23" s="48" t="str">
        <x:v>Single</x:v>
      </x:c>
      <x:c r="F23" s="48" t="str">
        <x:v>TRUE</x:v>
      </x:c>
      <x:c r="G23" s="48" t="n">
        <x:f>COUNTIFS('Swipe Questions'!$B$2:$B$239,A23,'Swipe Questions'!$L$2:$L$239,"TRUE")</x:f>
        <x:v>11</x:v>
      </x:c>
      <x:c r="H23" s="48" t="str">
        <x:f>IF(G23&gt;='App Settings'!$B$9,"Ready","Add questions")</x:f>
        <x:v>Ready</x:v>
      </x:c>
      <x:c r="I23" s="48" t="str"/>
    </x:row>
    <x:row r="24">
      <x:c r="A24" s="48" t="str">
        <x:v>ORG023</x:v>
      </x:c>
      <x:c r="B24" s="48" t="str">
        <x:v>Serratia marcescens</x:v>
      </x:c>
      <x:c r="C24" s="48" t="str">
        <x:v>Gram-Negative (-)</x:v>
      </x:c>
      <x:c r="D24" s="48" t="str">
        <x:v>Bacillus (rod)</x:v>
      </x:c>
      <x:c r="E24" s="48" t="str">
        <x:v>Single</x:v>
      </x:c>
      <x:c r="F24" s="48" t="str">
        <x:v>TRUE</x:v>
      </x:c>
      <x:c r="G24" s="48" t="n">
        <x:f>COUNTIFS('Swipe Questions'!$B$2:$B$239,A24,'Swipe Questions'!$L$2:$L$239,"TRUE")</x:f>
        <x:v>10</x:v>
      </x:c>
      <x:c r="H24" s="48" t="str">
        <x:f>IF(G24&gt;='App Settings'!$B$9,"Ready","Add questions")</x:f>
        <x:v>Ready</x:v>
      </x:c>
      <x:c r="I24" s="48" t="str"/>
    </x:row>
    <x:row r="25">
      <x:c r="A25" s="48" t="str">
        <x:v>ORG024</x:v>
      </x:c>
      <x:c r="B25" s="48" t="str">
        <x:v>Yersinia enterocolitica</x:v>
      </x:c>
      <x:c r="C25" s="48" t="str">
        <x:v>Gram-Negative (-)</x:v>
      </x:c>
      <x:c r="D25" s="48" t="str">
        <x:v>Coccobacillus / Pleomorphic rod</x:v>
      </x:c>
      <x:c r="E25" s="48" t="str">
        <x:v>Single</x:v>
      </x:c>
      <x:c r="F25" s="48" t="str">
        <x:v>TRUE</x:v>
      </x:c>
      <x:c r="G25" s="48" t="n">
        <x:f>COUNTIFS('Swipe Questions'!$B$2:$B$239,A25,'Swipe Questions'!$L$2:$L$239,"TRUE")</x:f>
        <x:v>9</x:v>
      </x:c>
      <x:c r="H25" s="48" t="str">
        <x:f>IF(G25&gt;='App Settings'!$B$9,"Ready","Add questions")</x:f>
        <x:v>Ready</x:v>
      </x:c>
      <x:c r="I25" s="48" t="str"/>
    </x:row>
  </x:sheetData>
  <x:conditionalFormatting sqref="G2:G25">
    <x:cfRule type="dataBar" priority="1">
      <x:dataBar>
        <x:cfvo type="min"/>
        <x:cfvo type="max"/>
        <x:color rgb="FF4BACC6"/>
      </x:dataBar>
      <x:extLst>
        <x:ext xmlns:x14="http://schemas.microsoft.com/office/spreadsheetml/2009/9/main" uri="{B025F937-C7B1-47D3-B67F-A62EFF666E3E}">
          <x14:id>{D5B4034A-0103-ADE6-3247-F83A8A822DF2}</x14:id>
        </x:ext>
      </x:extLst>
    </x:cfRule>
  </x:conditionalFormatting>
  <x:dataValidations count="1">
    <x:dataValidation type="list" sqref="F2:F25">
      <x:formula1>"TRUE,FALSE"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ecd6d88242d4100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D5B4034A-0103-ADE6-3247-F83A8A822DF2}">
            <x14:dataBar gradient="1">
              <x14:cfvo type="min"/>
              <x14:cfvo type="max"/>
              <x14:fillColor rgb="FF4BACC6"/>
            </x14:dataBar>
          </x14:cfRule>
          <xm:sqref>G2:G25</xm:sqref>
        </x14:conditionalFormatting>
      </x14:conditionalFormattings>
    </x:ext>
  </x:extLst>
</x:worksheet>
</file>

<file path=xl/worksheets/sheet5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2" hidden="0" customWidth="1"/>
    <x:col min="3" max="3" width="38" hidden="0" customWidth="1"/>
    <x:col min="4" max="4" width="16" hidden="0" customWidth="1"/>
    <x:col min="5" max="5" width="28" hidden="0" customWidth="1"/>
    <x:col min="6" max="6" width="15" hidden="0" customWidth="1"/>
    <x:col min="7" max="7" width="52" hidden="0" customWidth="1"/>
    <x:col min="8" max="8" width="12" hidden="0" customWidth="1"/>
    <x:col min="9" max="9" width="12" hidden="0" customWidth="1"/>
    <x:col min="10" max="10" width="38" hidden="0" customWidth="1"/>
    <x:col min="11" max="11" width="14" hidden="0" customWidth="1"/>
    <x:col min="12" max="12" width="10" hidden="0" customWidth="1"/>
    <x:col min="13" max="13" width="28" hidden="0" customWidth="1"/>
    <x:col min="14" max="14" width="14" hidden="0" customWidth="1"/>
  </x:cols>
  <x:sheetData>
    <x:row r="1">
      <x:c r="A1" s="42" t="str">
        <x:v>question_id</x:v>
      </x:c>
      <x:c r="B1" s="42" t="str">
        <x:v>organism_id</x:v>
      </x:c>
      <x:c r="C1" s="42" t="str">
        <x:v>organism_name</x:v>
      </x:c>
      <x:c r="D1" s="42" t="str">
        <x:v>category</x:v>
      </x:c>
      <x:c r="E1" s="42" t="str">
        <x:v>prompt</x:v>
      </x:c>
      <x:c r="F1" s="42" t="str">
        <x:v>correct_answer</x:v>
      </x:c>
      <x:c r="G1" s="42" t="str">
        <x:v>explanation</x:v>
      </x:c>
      <x:c r="H1" s="42" t="str">
        <x:v>difficulty</x:v>
      </x:c>
      <x:c r="I1" s="42" t="str">
        <x:v>high_yield</x:v>
      </x:c>
      <x:c r="J1" s="42" t="str">
        <x:v>source</x:v>
      </x:c>
      <x:c r="K1" s="42" t="str">
        <x:v>source_slide</x:v>
      </x:c>
      <x:c r="L1" s="42" t="str">
        <x:v>active</x:v>
      </x:c>
      <x:c r="M1" s="42" t="str">
        <x:v>notes</x:v>
      </x:c>
      <x:c r="N1" s="42" t="str">
        <x:v>date_added</x:v>
      </x:c>
    </x:row>
    <x:row r="2">
      <x:c r="A2" s="48" t="str">
        <x:v>Q0001</x:v>
      </x:c>
      <x:c r="B2" s="48" t="str">
        <x:v>ORG001</x:v>
      </x:c>
      <x:c r="C2" s="48" t="str">
        <x:v>Staphylococcus aureus</x:v>
      </x:c>
      <x:c r="D2" s="48" t="str">
        <x:v>Morphology</x:v>
      </x:c>
      <x:c r="E2" s="48" t="str">
        <x:v>Gram-positive?</x:v>
      </x:c>
      <x:c r="F2" s="48" t="str">
        <x:v>TRUE</x:v>
      </x:c>
      <x:c r="G2" s="48" t="str">
        <x:v>Staphylococcus aureus is listed as Gram-Positive (+).</x:v>
      </x:c>
      <x:c r="H2" s="48" t="str">
        <x:v>Easy</x:v>
      </x:c>
      <x:c r="I2" s="48" t="str">
        <x:v>High</x:v>
      </x:c>
      <x:c r="J2" s="48" t="str">
        <x:v>Bacterial Morphology &amp; Physiology Cantres 2026</x:v>
      </x:c>
      <x:c r="K2" s="48" t="str"/>
      <x:c r="L2" s="48" t="str">
        <x:v>TRUE</x:v>
      </x:c>
      <x:c r="M2" s="48" t="str"/>
      <x:c r="N2" s="54" t="n">
        <x:v>46277</x:v>
      </x:c>
    </x:row>
    <x:row r="3">
      <x:c r="A3" s="48" t="str">
        <x:v>Q0002</x:v>
      </x:c>
      <x:c r="B3" s="48" t="str">
        <x:v>ORG001</x:v>
      </x:c>
      <x:c r="C3" s="48" t="str">
        <x:v>Staphylococcus aureus</x:v>
      </x:c>
      <x:c r="D3" s="48" t="str">
        <x:v>Biochemical</x:v>
      </x:c>
      <x:c r="E3" s="48" t="str">
        <x:v>Catalase positive?</x:v>
      </x:c>
      <x:c r="F3" s="48" t="str">
        <x:v>TRUE</x:v>
      </x:c>
      <x:c r="G3" s="48" t="str">
        <x:v>Catalase: Positive (+).</x:v>
      </x:c>
      <x:c r="H3" s="48" t="str">
        <x:v>Easy</x:v>
      </x:c>
      <x:c r="I3" s="48" t="str">
        <x:v>High</x:v>
      </x:c>
      <x:c r="J3" s="48" t="str">
        <x:v>Bacterial Morphology &amp; Physiology Cantres 2026</x:v>
      </x:c>
      <x:c r="K3" s="48" t="str"/>
      <x:c r="L3" s="48" t="str">
        <x:v>TRUE</x:v>
      </x:c>
      <x:c r="M3" s="48" t="str"/>
      <x:c r="N3" s="54" t="n">
        <x:v>46277</x:v>
      </x:c>
    </x:row>
    <x:row r="4">
      <x:c r="A4" s="48" t="str">
        <x:v>Q0003</x:v>
      </x:c>
      <x:c r="B4" s="48" t="str">
        <x:v>ORG001</x:v>
      </x:c>
      <x:c r="C4" s="48" t="str">
        <x:v>Staphylococcus aureus</x:v>
      </x:c>
      <x:c r="D4" s="48" t="str">
        <x:v>Biochemical</x:v>
      </x:c>
      <x:c r="E4" s="48" t="str">
        <x:v>Oxidase positive?</x:v>
      </x:c>
      <x:c r="F4" s="48" t="str">
        <x:v>FALSE</x:v>
      </x:c>
      <x:c r="G4" s="48" t="str">
        <x:v>Oxidase: Negative (-).</x:v>
      </x:c>
      <x:c r="H4" s="48" t="str">
        <x:v>Easy</x:v>
      </x:c>
      <x:c r="I4" s="48" t="str">
        <x:v>High</x:v>
      </x:c>
      <x:c r="J4" s="48" t="str">
        <x:v>Bacterial Morphology &amp; Physiology Cantres 2026</x:v>
      </x:c>
      <x:c r="K4" s="48" t="str"/>
      <x:c r="L4" s="48" t="str">
        <x:v>TRUE</x:v>
      </x:c>
      <x:c r="M4" s="48" t="str"/>
      <x:c r="N4" s="54" t="n">
        <x:v>46277</x:v>
      </x:c>
    </x:row>
    <x:row r="5">
      <x:c r="A5" s="48" t="str">
        <x:v>Q0004</x:v>
      </x:c>
      <x:c r="B5" s="48" t="str">
        <x:v>ORG001</x:v>
      </x:c>
      <x:c r="C5" s="48" t="str">
        <x:v>Staphylococcus aureus</x:v>
      </x:c>
      <x:c r="D5" s="48" t="str">
        <x:v>Biochemical</x:v>
      </x:c>
      <x:c r="E5" s="48" t="str">
        <x:v>Coagulase positive?</x:v>
      </x:c>
      <x:c r="F5" s="48" t="str">
        <x:v>TRUE</x:v>
      </x:c>
      <x:c r="G5" s="48" t="str">
        <x:v>Coagulase: Positive (+).</x:v>
      </x:c>
      <x:c r="H5" s="48" t="str">
        <x:v>Easy</x:v>
      </x:c>
      <x:c r="I5" s="48" t="str">
        <x:v>High</x:v>
      </x:c>
      <x:c r="J5" s="48" t="str">
        <x:v>Bacterial Morphology &amp; Physiology Cantres 2026</x:v>
      </x:c>
      <x:c r="K5" s="48" t="str"/>
      <x:c r="L5" s="48" t="str">
        <x:v>TRUE</x:v>
      </x:c>
      <x:c r="M5" s="48" t="str"/>
      <x:c r="N5" s="54" t="n">
        <x:v>46277</x:v>
      </x:c>
    </x:row>
    <x:row r="6">
      <x:c r="A6" s="48" t="str">
        <x:v>Q0005</x:v>
      </x:c>
      <x:c r="B6" s="48" t="str">
        <x:v>ORG001</x:v>
      </x:c>
      <x:c r="C6" s="48" t="str">
        <x:v>Staphylococcus aureus</x:v>
      </x:c>
      <x:c r="D6" s="48" t="str">
        <x:v>Morphology</x:v>
      </x:c>
      <x:c r="E6" s="48" t="str">
        <x:v>Motile?</x:v>
      </x:c>
      <x:c r="F6" s="48" t="str">
        <x:v>FALSE</x:v>
      </x:c>
      <x:c r="G6" s="48" t="str">
        <x:v>Motility: Non-motile.</x:v>
      </x:c>
      <x:c r="H6" s="48" t="str">
        <x:v>Easy</x:v>
      </x:c>
      <x:c r="I6" s="48" t="str">
        <x:v>High</x:v>
      </x:c>
      <x:c r="J6" s="48" t="str">
        <x:v>Bacterial Morphology &amp; Physiology Cantres 2026</x:v>
      </x:c>
      <x:c r="K6" s="48" t="str"/>
      <x:c r="L6" s="48" t="str">
        <x:v>TRUE</x:v>
      </x:c>
      <x:c r="M6" s="48" t="str"/>
      <x:c r="N6" s="54" t="n">
        <x:v>46277</x:v>
      </x:c>
    </x:row>
    <x:row r="7">
      <x:c r="A7" s="48" t="str">
        <x:v>Q0006</x:v>
      </x:c>
      <x:c r="B7" s="48" t="str">
        <x:v>ORG001</x:v>
      </x:c>
      <x:c r="C7" s="48" t="str">
        <x:v>Staphylococcus aureus</x:v>
      </x:c>
      <x:c r="D7" s="48" t="str">
        <x:v>Morphology</x:v>
      </x:c>
      <x:c r="E7" s="48" t="str">
        <x:v>Spore-forming?</x:v>
      </x:c>
      <x:c r="F7" s="48" t="str">
        <x:v>FALSE</x:v>
      </x:c>
      <x:c r="G7" s="48" t="str">
        <x:v>Spore formation: No.</x:v>
      </x:c>
      <x:c r="H7" s="48" t="str">
        <x:v>Easy</x:v>
      </x:c>
      <x:c r="I7" s="48" t="str">
        <x:v>High</x:v>
      </x:c>
      <x:c r="J7" s="48" t="str">
        <x:v>Bacterial Morphology &amp; Physiology Cantres 2026</x:v>
      </x:c>
      <x:c r="K7" s="48" t="str"/>
      <x:c r="L7" s="48" t="str">
        <x:v>TRUE</x:v>
      </x:c>
      <x:c r="M7" s="48" t="str"/>
      <x:c r="N7" s="54" t="n">
        <x:v>46277</x:v>
      </x:c>
    </x:row>
    <x:row r="8">
      <x:c r="A8" s="48" t="str">
        <x:v>Q0007</x:v>
      </x:c>
      <x:c r="B8" s="48" t="str">
        <x:v>ORG001</x:v>
      </x:c>
      <x:c r="C8" s="48" t="str">
        <x:v>Staphylococcus aureus</x:v>
      </x:c>
      <x:c r="D8" s="48" t="str">
        <x:v>Growth</x:v>
      </x:c>
      <x:c r="E8" s="48" t="str">
        <x:v>Facultative anaerobe?</x:v>
      </x:c>
      <x:c r="F8" s="48" t="str">
        <x:v>TRUE</x:v>
      </x:c>
      <x:c r="G8" s="48" t="str">
        <x:v>Oxygen requirement: Facultative Anaerobe.</x:v>
      </x:c>
      <x:c r="H8" s="48" t="str">
        <x:v>Medium</x:v>
      </x:c>
      <x:c r="I8" s="48" t="str">
        <x:v>High</x:v>
      </x:c>
      <x:c r="J8" s="48" t="str">
        <x:v>Bacterial Morphology &amp; Physiology Cantres 2026</x:v>
      </x:c>
      <x:c r="K8" s="48" t="str"/>
      <x:c r="L8" s="48" t="str">
        <x:v>TRUE</x:v>
      </x:c>
      <x:c r="M8" s="48" t="str"/>
      <x:c r="N8" s="54" t="n">
        <x:v>46277</x:v>
      </x:c>
    </x:row>
    <x:row r="9">
      <x:c r="A9" s="48" t="str">
        <x:v>Q0008</x:v>
      </x:c>
      <x:c r="B9" s="48" t="str">
        <x:v>ORG001</x:v>
      </x:c>
      <x:c r="C9" s="48" t="str">
        <x:v>Staphylococcus aureus</x:v>
      </x:c>
      <x:c r="D9" s="48" t="str">
        <x:v>Growth</x:v>
      </x:c>
      <x:c r="E9" s="48" t="str">
        <x:v>Strict aerobe?</x:v>
      </x:c>
      <x:c r="F9" s="48" t="str">
        <x:v>FALSE</x:v>
      </x:c>
      <x:c r="G9" s="48" t="str">
        <x:v>Oxygen requirement: Facultative Anaerobe.</x:v>
      </x:c>
      <x:c r="H9" s="48" t="str">
        <x:v>Medium</x:v>
      </x:c>
      <x:c r="I9" s="48" t="str">
        <x:v>High</x:v>
      </x:c>
      <x:c r="J9" s="48" t="str">
        <x:v>Bacterial Morphology &amp; Physiology Cantres 2026</x:v>
      </x:c>
      <x:c r="K9" s="48" t="str"/>
      <x:c r="L9" s="48" t="str">
        <x:v>TRUE</x:v>
      </x:c>
      <x:c r="M9" s="48" t="str"/>
      <x:c r="N9" s="54" t="n">
        <x:v>46277</x:v>
      </x:c>
    </x:row>
    <x:row r="10">
      <x:c r="A10" s="48" t="str">
        <x:v>Q0009</x:v>
      </x:c>
      <x:c r="B10" s="48" t="str">
        <x:v>ORG001</x:v>
      </x:c>
      <x:c r="C10" s="48" t="str">
        <x:v>Staphylococcus aureus</x:v>
      </x:c>
      <x:c r="D10" s="48" t="str">
        <x:v>Growth</x:v>
      </x:c>
      <x:c r="E10" s="48" t="str">
        <x:v>Beta-hemolytic?</x:v>
      </x:c>
      <x:c r="F10" s="48" t="str">
        <x:v>TRUE</x:v>
      </x:c>
      <x:c r="G10" s="48" t="str">
        <x:v>Hemolysis: Beta (β).</x:v>
      </x:c>
      <x:c r="H10" s="48" t="str">
        <x:v>Medium</x:v>
      </x:c>
      <x:c r="I10" s="48" t="str">
        <x:v>High</x:v>
      </x:c>
      <x:c r="J10" s="48" t="str">
        <x:v>Bacterial Morphology &amp; Physiology Cantres 2026</x:v>
      </x:c>
      <x:c r="K10" s="48" t="str"/>
      <x:c r="L10" s="48" t="str">
        <x:v>TRUE</x:v>
      </x:c>
      <x:c r="M10" s="48" t="str"/>
      <x:c r="N10" s="54" t="n">
        <x:v>46277</x:v>
      </x:c>
    </x:row>
    <x:row r="11">
      <x:c r="A11" s="48" t="str">
        <x:v>Q0010</x:v>
      </x:c>
      <x:c r="B11" s="48" t="str">
        <x:v>ORG001</x:v>
      </x:c>
      <x:c r="C11" s="48" t="str">
        <x:v>Staphylococcus aureus</x:v>
      </x:c>
      <x:c r="D11" s="48" t="str">
        <x:v>Biochemical</x:v>
      </x:c>
      <x:c r="E11" s="48" t="str">
        <x:v>DNase positive?</x:v>
      </x:c>
      <x:c r="F11" s="48" t="str">
        <x:v>TRUE</x:v>
      </x:c>
      <x:c r="G11" s="48" t="str">
        <x:v>Key test profile: Mannitol fermenter (yellow on MSA), DNase (+), Gelatinase (+).</x:v>
      </x:c>
      <x:c r="H11" s="48" t="str">
        <x:v>Medium</x:v>
      </x:c>
      <x:c r="I11" s="48" t="str">
        <x:v>High</x:v>
      </x:c>
      <x:c r="J11" s="48" t="str">
        <x:v>Bacterial Morphology &amp; Physiology Cantres 2026</x:v>
      </x:c>
      <x:c r="K11" s="48" t="str"/>
      <x:c r="L11" s="48" t="str">
        <x:v>TRUE</x:v>
      </x:c>
      <x:c r="M11" s="48" t="str"/>
      <x:c r="N11" s="54" t="n">
        <x:v>46277</x:v>
      </x:c>
    </x:row>
    <x:row r="12">
      <x:c r="A12" s="48" t="str">
        <x:v>Q0011</x:v>
      </x:c>
      <x:c r="B12" s="48" t="str">
        <x:v>ORG002</x:v>
      </x:c>
      <x:c r="C12" s="48" t="str">
        <x:v>Staphylococcus epidermidis</x:v>
      </x:c>
      <x:c r="D12" s="48" t="str">
        <x:v>Morphology</x:v>
      </x:c>
      <x:c r="E12" s="48" t="str">
        <x:v>Gram-positive?</x:v>
      </x:c>
      <x:c r="F12" s="48" t="str">
        <x:v>TRUE</x:v>
      </x:c>
      <x:c r="G12" s="48" t="str">
        <x:v>Staphylococcus epidermidis is listed as Gram-Positive (+).</x:v>
      </x:c>
      <x:c r="H12" s="48" t="str">
        <x:v>Easy</x:v>
      </x:c>
      <x:c r="I12" s="48" t="str">
        <x:v>High</x:v>
      </x:c>
      <x:c r="J12" s="48" t="str">
        <x:v>Bacterial Morphology &amp; Physiology Cantres 2026</x:v>
      </x:c>
      <x:c r="K12" s="48" t="str"/>
      <x:c r="L12" s="48" t="str">
        <x:v>TRUE</x:v>
      </x:c>
      <x:c r="M12" s="48" t="str"/>
      <x:c r="N12" s="54" t="n">
        <x:v>46277</x:v>
      </x:c>
    </x:row>
    <x:row r="13">
      <x:c r="A13" s="48" t="str">
        <x:v>Q0012</x:v>
      </x:c>
      <x:c r="B13" s="48" t="str">
        <x:v>ORG002</x:v>
      </x:c>
      <x:c r="C13" s="48" t="str">
        <x:v>Staphylococcus epidermidis</x:v>
      </x:c>
      <x:c r="D13" s="48" t="str">
        <x:v>Biochemical</x:v>
      </x:c>
      <x:c r="E13" s="48" t="str">
        <x:v>Catalase positive?</x:v>
      </x:c>
      <x:c r="F13" s="48" t="str">
        <x:v>TRUE</x:v>
      </x:c>
      <x:c r="G13" s="48" t="str">
        <x:v>Catalase: Positive (+).</x:v>
      </x:c>
      <x:c r="H13" s="48" t="str">
        <x:v>Easy</x:v>
      </x:c>
      <x:c r="I13" s="48" t="str">
        <x:v>High</x:v>
      </x:c>
      <x:c r="J13" s="48" t="str">
        <x:v>Bacterial Morphology &amp; Physiology Cantres 2026</x:v>
      </x:c>
      <x:c r="K13" s="48" t="str"/>
      <x:c r="L13" s="48" t="str">
        <x:v>TRUE</x:v>
      </x:c>
      <x:c r="M13" s="48" t="str"/>
      <x:c r="N13" s="54" t="n">
        <x:v>46277</x:v>
      </x:c>
    </x:row>
    <x:row r="14">
      <x:c r="A14" s="48" t="str">
        <x:v>Q0013</x:v>
      </x:c>
      <x:c r="B14" s="48" t="str">
        <x:v>ORG002</x:v>
      </x:c>
      <x:c r="C14" s="48" t="str">
        <x:v>Staphylococcus epidermidis</x:v>
      </x:c>
      <x:c r="D14" s="48" t="str">
        <x:v>Biochemical</x:v>
      </x:c>
      <x:c r="E14" s="48" t="str">
        <x:v>Oxidase positive?</x:v>
      </x:c>
      <x:c r="F14" s="48" t="str">
        <x:v>FALSE</x:v>
      </x:c>
      <x:c r="G14" s="48" t="str">
        <x:v>Oxidase: Negative (-).</x:v>
      </x:c>
      <x:c r="H14" s="48" t="str">
        <x:v>Easy</x:v>
      </x:c>
      <x:c r="I14" s="48" t="str">
        <x:v>High</x:v>
      </x:c>
      <x:c r="J14" s="48" t="str">
        <x:v>Bacterial Morphology &amp; Physiology Cantres 2026</x:v>
      </x:c>
      <x:c r="K14" s="48" t="str"/>
      <x:c r="L14" s="48" t="str">
        <x:v>TRUE</x:v>
      </x:c>
      <x:c r="M14" s="48" t="str"/>
      <x:c r="N14" s="54" t="n">
        <x:v>46277</x:v>
      </x:c>
    </x:row>
    <x:row r="15">
      <x:c r="A15" s="48" t="str">
        <x:v>Q0014</x:v>
      </x:c>
      <x:c r="B15" s="48" t="str">
        <x:v>ORG002</x:v>
      </x:c>
      <x:c r="C15" s="48" t="str">
        <x:v>Staphylococcus epidermidis</x:v>
      </x:c>
      <x:c r="D15" s="48" t="str">
        <x:v>Biochemical</x:v>
      </x:c>
      <x:c r="E15" s="48" t="str">
        <x:v>Coagulase positive?</x:v>
      </x:c>
      <x:c r="F15" s="48" t="str">
        <x:v>FALSE</x:v>
      </x:c>
      <x:c r="G15" s="48" t="str">
        <x:v>Coagulase: Negative (-).</x:v>
      </x:c>
      <x:c r="H15" s="48" t="str">
        <x:v>Easy</x:v>
      </x:c>
      <x:c r="I15" s="48" t="str">
        <x:v>High</x:v>
      </x:c>
      <x:c r="J15" s="48" t="str">
        <x:v>Bacterial Morphology &amp; Physiology Cantres 2026</x:v>
      </x:c>
      <x:c r="K15" s="48" t="str"/>
      <x:c r="L15" s="48" t="str">
        <x:v>TRUE</x:v>
      </x:c>
      <x:c r="M15" s="48" t="str"/>
      <x:c r="N15" s="54" t="n">
        <x:v>46277</x:v>
      </x:c>
    </x:row>
    <x:row r="16">
      <x:c r="A16" s="48" t="str">
        <x:v>Q0015</x:v>
      </x:c>
      <x:c r="B16" s="48" t="str">
        <x:v>ORG002</x:v>
      </x:c>
      <x:c r="C16" s="48" t="str">
        <x:v>Staphylococcus epidermidis</x:v>
      </x:c>
      <x:c r="D16" s="48" t="str">
        <x:v>Morphology</x:v>
      </x:c>
      <x:c r="E16" s="48" t="str">
        <x:v>Motile?</x:v>
      </x:c>
      <x:c r="F16" s="48" t="str">
        <x:v>FALSE</x:v>
      </x:c>
      <x:c r="G16" s="48" t="str">
        <x:v>Motility: Non-motile.</x:v>
      </x:c>
      <x:c r="H16" s="48" t="str">
        <x:v>Easy</x:v>
      </x:c>
      <x:c r="I16" s="48" t="str">
        <x:v>High</x:v>
      </x:c>
      <x:c r="J16" s="48" t="str">
        <x:v>Bacterial Morphology &amp; Physiology Cantres 2026</x:v>
      </x:c>
      <x:c r="K16" s="48" t="str"/>
      <x:c r="L16" s="48" t="str">
        <x:v>TRUE</x:v>
      </x:c>
      <x:c r="M16" s="48" t="str"/>
      <x:c r="N16" s="54" t="n">
        <x:v>46277</x:v>
      </x:c>
    </x:row>
    <x:row r="17">
      <x:c r="A17" s="48" t="str">
        <x:v>Q0016</x:v>
      </x:c>
      <x:c r="B17" s="48" t="str">
        <x:v>ORG002</x:v>
      </x:c>
      <x:c r="C17" s="48" t="str">
        <x:v>Staphylococcus epidermidis</x:v>
      </x:c>
      <x:c r="D17" s="48" t="str">
        <x:v>Morphology</x:v>
      </x:c>
      <x:c r="E17" s="48" t="str">
        <x:v>Spore-forming?</x:v>
      </x:c>
      <x:c r="F17" s="48" t="str">
        <x:v>FALSE</x:v>
      </x:c>
      <x:c r="G17" s="48" t="str">
        <x:v>Spore formation: No.</x:v>
      </x:c>
      <x:c r="H17" s="48" t="str">
        <x:v>Easy</x:v>
      </x:c>
      <x:c r="I17" s="48" t="str">
        <x:v>High</x:v>
      </x:c>
      <x:c r="J17" s="48" t="str">
        <x:v>Bacterial Morphology &amp; Physiology Cantres 2026</x:v>
      </x:c>
      <x:c r="K17" s="48" t="str"/>
      <x:c r="L17" s="48" t="str">
        <x:v>TRUE</x:v>
      </x:c>
      <x:c r="M17" s="48" t="str"/>
      <x:c r="N17" s="54" t="n">
        <x:v>46277</x:v>
      </x:c>
    </x:row>
    <x:row r="18">
      <x:c r="A18" s="48" t="str">
        <x:v>Q0017</x:v>
      </x:c>
      <x:c r="B18" s="48" t="str">
        <x:v>ORG002</x:v>
      </x:c>
      <x:c r="C18" s="48" t="str">
        <x:v>Staphylococcus epidermidis</x:v>
      </x:c>
      <x:c r="D18" s="48" t="str">
        <x:v>Growth</x:v>
      </x:c>
      <x:c r="E18" s="48" t="str">
        <x:v>Facultative anaerobe?</x:v>
      </x:c>
      <x:c r="F18" s="48" t="str">
        <x:v>TRUE</x:v>
      </x:c>
      <x:c r="G18" s="48" t="str">
        <x:v>Oxygen requirement: Facultative Anaerobe.</x:v>
      </x:c>
      <x:c r="H18" s="48" t="str">
        <x:v>Medium</x:v>
      </x:c>
      <x:c r="I18" s="48" t="str">
        <x:v>High</x:v>
      </x:c>
      <x:c r="J18" s="48" t="str">
        <x:v>Bacterial Morphology &amp; Physiology Cantres 2026</x:v>
      </x:c>
      <x:c r="K18" s="48" t="str"/>
      <x:c r="L18" s="48" t="str">
        <x:v>TRUE</x:v>
      </x:c>
      <x:c r="M18" s="48" t="str"/>
      <x:c r="N18" s="54" t="n">
        <x:v>46277</x:v>
      </x:c>
    </x:row>
    <x:row r="19">
      <x:c r="A19" s="48" t="str">
        <x:v>Q0018</x:v>
      </x:c>
      <x:c r="B19" s="48" t="str">
        <x:v>ORG002</x:v>
      </x:c>
      <x:c r="C19" s="48" t="str">
        <x:v>Staphylococcus epidermidis</x:v>
      </x:c>
      <x:c r="D19" s="48" t="str">
        <x:v>Growth</x:v>
      </x:c>
      <x:c r="E19" s="48" t="str">
        <x:v>Strict aerobe?</x:v>
      </x:c>
      <x:c r="F19" s="48" t="str">
        <x:v>FALSE</x:v>
      </x:c>
      <x:c r="G19" s="48" t="str">
        <x:v>Oxygen requirement: Facultative Anaerobe.</x:v>
      </x:c>
      <x:c r="H19" s="48" t="str">
        <x:v>Medium</x:v>
      </x:c>
      <x:c r="I19" s="48" t="str">
        <x:v>High</x:v>
      </x:c>
      <x:c r="J19" s="48" t="str">
        <x:v>Bacterial Morphology &amp; Physiology Cantres 2026</x:v>
      </x:c>
      <x:c r="K19" s="48" t="str"/>
      <x:c r="L19" s="48" t="str">
        <x:v>TRUE</x:v>
      </x:c>
      <x:c r="M19" s="48" t="str"/>
      <x:c r="N19" s="54" t="n">
        <x:v>46277</x:v>
      </x:c>
    </x:row>
    <x:row r="20">
      <x:c r="A20" s="48" t="str">
        <x:v>Q0019</x:v>
      </x:c>
      <x:c r="B20" s="48" t="str">
        <x:v>ORG002</x:v>
      </x:c>
      <x:c r="C20" s="48" t="str">
        <x:v>Staphylococcus epidermidis</x:v>
      </x:c>
      <x:c r="D20" s="48" t="str">
        <x:v>Biochemical</x:v>
      </x:c>
      <x:c r="E20" s="48" t="str">
        <x:v>Urease positive?</x:v>
      </x:c>
      <x:c r="F20" s="48" t="str">
        <x:v>TRUE</x:v>
      </x:c>
      <x:c r="G20" s="48" t="str">
        <x:v>Key test profile: Novobiocin sensitive, Urease (+).</x:v>
      </x:c>
      <x:c r="H20" s="48" t="str">
        <x:v>Medium</x:v>
      </x:c>
      <x:c r="I20" s="48" t="str">
        <x:v>High</x:v>
      </x:c>
      <x:c r="J20" s="48" t="str">
        <x:v>Bacterial Morphology &amp; Physiology Cantres 2026</x:v>
      </x:c>
      <x:c r="K20" s="48" t="str"/>
      <x:c r="L20" s="48" t="str">
        <x:v>TRUE</x:v>
      </x:c>
      <x:c r="M20" s="48" t="str"/>
      <x:c r="N20" s="54" t="n">
        <x:v>46277</x:v>
      </x:c>
    </x:row>
    <x:row r="21">
      <x:c r="A21" s="48" t="str">
        <x:v>Q0020</x:v>
      </x:c>
      <x:c r="B21" s="48" t="str">
        <x:v>ORG003</x:v>
      </x:c>
      <x:c r="C21" s="48" t="str">
        <x:v>Staphylococcus saprophyticus</x:v>
      </x:c>
      <x:c r="D21" s="48" t="str">
        <x:v>Morphology</x:v>
      </x:c>
      <x:c r="E21" s="48" t="str">
        <x:v>Gram-positive?</x:v>
      </x:c>
      <x:c r="F21" s="48" t="str">
        <x:v>TRUE</x:v>
      </x:c>
      <x:c r="G21" s="48" t="str">
        <x:v>Staphylococcus saprophyticus is listed as Gram-Positive (+).</x:v>
      </x:c>
      <x:c r="H21" s="48" t="str">
        <x:v>Easy</x:v>
      </x:c>
      <x:c r="I21" s="48" t="str">
        <x:v>High</x:v>
      </x:c>
      <x:c r="J21" s="48" t="str">
        <x:v>Bacterial Morphology &amp; Physiology Cantres 2026</x:v>
      </x:c>
      <x:c r="K21" s="48" t="str"/>
      <x:c r="L21" s="48" t="str">
        <x:v>TRUE</x:v>
      </x:c>
      <x:c r="M21" s="48" t="str"/>
      <x:c r="N21" s="54" t="n">
        <x:v>46277</x:v>
      </x:c>
    </x:row>
    <x:row r="22">
      <x:c r="A22" s="48" t="str">
        <x:v>Q0021</x:v>
      </x:c>
      <x:c r="B22" s="48" t="str">
        <x:v>ORG003</x:v>
      </x:c>
      <x:c r="C22" s="48" t="str">
        <x:v>Staphylococcus saprophyticus</x:v>
      </x:c>
      <x:c r="D22" s="48" t="str">
        <x:v>Biochemical</x:v>
      </x:c>
      <x:c r="E22" s="48" t="str">
        <x:v>Catalase positive?</x:v>
      </x:c>
      <x:c r="F22" s="48" t="str">
        <x:v>TRUE</x:v>
      </x:c>
      <x:c r="G22" s="48" t="str">
        <x:v>Catalase: Positive (+).</x:v>
      </x:c>
      <x:c r="H22" s="48" t="str">
        <x:v>Easy</x:v>
      </x:c>
      <x:c r="I22" s="48" t="str">
        <x:v>High</x:v>
      </x:c>
      <x:c r="J22" s="48" t="str">
        <x:v>Bacterial Morphology &amp; Physiology Cantres 2026</x:v>
      </x:c>
      <x:c r="K22" s="48" t="str"/>
      <x:c r="L22" s="48" t="str">
        <x:v>TRUE</x:v>
      </x:c>
      <x:c r="M22" s="48" t="str"/>
      <x:c r="N22" s="54" t="n">
        <x:v>46277</x:v>
      </x:c>
    </x:row>
    <x:row r="23">
      <x:c r="A23" s="48" t="str">
        <x:v>Q0022</x:v>
      </x:c>
      <x:c r="B23" s="48" t="str">
        <x:v>ORG003</x:v>
      </x:c>
      <x:c r="C23" s="48" t="str">
        <x:v>Staphylococcus saprophyticus</x:v>
      </x:c>
      <x:c r="D23" s="48" t="str">
        <x:v>Biochemical</x:v>
      </x:c>
      <x:c r="E23" s="48" t="str">
        <x:v>Oxidase positive?</x:v>
      </x:c>
      <x:c r="F23" s="48" t="str">
        <x:v>FALSE</x:v>
      </x:c>
      <x:c r="G23" s="48" t="str">
        <x:v>Oxidase: Negative (-).</x:v>
      </x:c>
      <x:c r="H23" s="48" t="str">
        <x:v>Easy</x:v>
      </x:c>
      <x:c r="I23" s="48" t="str">
        <x:v>High</x:v>
      </x:c>
      <x:c r="J23" s="48" t="str">
        <x:v>Bacterial Morphology &amp; Physiology Cantres 2026</x:v>
      </x:c>
      <x:c r="K23" s="48" t="str"/>
      <x:c r="L23" s="48" t="str">
        <x:v>TRUE</x:v>
      </x:c>
      <x:c r="M23" s="48" t="str"/>
      <x:c r="N23" s="54" t="n">
        <x:v>46277</x:v>
      </x:c>
    </x:row>
    <x:row r="24">
      <x:c r="A24" s="48" t="str">
        <x:v>Q0023</x:v>
      </x:c>
      <x:c r="B24" s="48" t="str">
        <x:v>ORG003</x:v>
      </x:c>
      <x:c r="C24" s="48" t="str">
        <x:v>Staphylococcus saprophyticus</x:v>
      </x:c>
      <x:c r="D24" s="48" t="str">
        <x:v>Biochemical</x:v>
      </x:c>
      <x:c r="E24" s="48" t="str">
        <x:v>Coagulase positive?</x:v>
      </x:c>
      <x:c r="F24" s="48" t="str">
        <x:v>FALSE</x:v>
      </x:c>
      <x:c r="G24" s="48" t="str">
        <x:v>Coagulase: Negative (-).</x:v>
      </x:c>
      <x:c r="H24" s="48" t="str">
        <x:v>Easy</x:v>
      </x:c>
      <x:c r="I24" s="48" t="str">
        <x:v>High</x:v>
      </x:c>
      <x:c r="J24" s="48" t="str">
        <x:v>Bacterial Morphology &amp; Physiology Cantres 2026</x:v>
      </x:c>
      <x:c r="K24" s="48" t="str"/>
      <x:c r="L24" s="48" t="str">
        <x:v>TRUE</x:v>
      </x:c>
      <x:c r="M24" s="48" t="str"/>
      <x:c r="N24" s="54" t="n">
        <x:v>46277</x:v>
      </x:c>
    </x:row>
    <x:row r="25">
      <x:c r="A25" s="48" t="str">
        <x:v>Q0024</x:v>
      </x:c>
      <x:c r="B25" s="48" t="str">
        <x:v>ORG003</x:v>
      </x:c>
      <x:c r="C25" s="48" t="str">
        <x:v>Staphylococcus saprophyticus</x:v>
      </x:c>
      <x:c r="D25" s="48" t="str">
        <x:v>Morphology</x:v>
      </x:c>
      <x:c r="E25" s="48" t="str">
        <x:v>Motile?</x:v>
      </x:c>
      <x:c r="F25" s="48" t="str">
        <x:v>FALSE</x:v>
      </x:c>
      <x:c r="G25" s="48" t="str">
        <x:v>Motility: Non-motile.</x:v>
      </x:c>
      <x:c r="H25" s="48" t="str">
        <x:v>Easy</x:v>
      </x:c>
      <x:c r="I25" s="48" t="str">
        <x:v>High</x:v>
      </x:c>
      <x:c r="J25" s="48" t="str">
        <x:v>Bacterial Morphology &amp; Physiology Cantres 2026</x:v>
      </x:c>
      <x:c r="K25" s="48" t="str"/>
      <x:c r="L25" s="48" t="str">
        <x:v>TRUE</x:v>
      </x:c>
      <x:c r="M25" s="48" t="str"/>
      <x:c r="N25" s="54" t="n">
        <x:v>46277</x:v>
      </x:c>
    </x:row>
    <x:row r="26">
      <x:c r="A26" s="48" t="str">
        <x:v>Q0025</x:v>
      </x:c>
      <x:c r="B26" s="48" t="str">
        <x:v>ORG003</x:v>
      </x:c>
      <x:c r="C26" s="48" t="str">
        <x:v>Staphylococcus saprophyticus</x:v>
      </x:c>
      <x:c r="D26" s="48" t="str">
        <x:v>Morphology</x:v>
      </x:c>
      <x:c r="E26" s="48" t="str">
        <x:v>Spore-forming?</x:v>
      </x:c>
      <x:c r="F26" s="48" t="str">
        <x:v>FALSE</x:v>
      </x:c>
      <x:c r="G26" s="48" t="str">
        <x:v>Spore formation: No.</x:v>
      </x:c>
      <x:c r="H26" s="48" t="str">
        <x:v>Easy</x:v>
      </x:c>
      <x:c r="I26" s="48" t="str">
        <x:v>High</x:v>
      </x:c>
      <x:c r="J26" s="48" t="str">
        <x:v>Bacterial Morphology &amp; Physiology Cantres 2026</x:v>
      </x:c>
      <x:c r="K26" s="48" t="str"/>
      <x:c r="L26" s="48" t="str">
        <x:v>TRUE</x:v>
      </x:c>
      <x:c r="M26" s="48" t="str"/>
      <x:c r="N26" s="54" t="n">
        <x:v>46277</x:v>
      </x:c>
    </x:row>
    <x:row r="27">
      <x:c r="A27" s="48" t="str">
        <x:v>Q0026</x:v>
      </x:c>
      <x:c r="B27" s="48" t="str">
        <x:v>ORG003</x:v>
      </x:c>
      <x:c r="C27" s="48" t="str">
        <x:v>Staphylococcus saprophyticus</x:v>
      </x:c>
      <x:c r="D27" s="48" t="str">
        <x:v>Growth</x:v>
      </x:c>
      <x:c r="E27" s="48" t="str">
        <x:v>Facultative anaerobe?</x:v>
      </x:c>
      <x:c r="F27" s="48" t="str">
        <x:v>TRUE</x:v>
      </x:c>
      <x:c r="G27" s="48" t="str">
        <x:v>Oxygen requirement: Facultative Anaerobe.</x:v>
      </x:c>
      <x:c r="H27" s="48" t="str">
        <x:v>Medium</x:v>
      </x:c>
      <x:c r="I27" s="48" t="str">
        <x:v>High</x:v>
      </x:c>
      <x:c r="J27" s="48" t="str">
        <x:v>Bacterial Morphology &amp; Physiology Cantres 2026</x:v>
      </x:c>
      <x:c r="K27" s="48" t="str"/>
      <x:c r="L27" s="48" t="str">
        <x:v>TRUE</x:v>
      </x:c>
      <x:c r="M27" s="48" t="str"/>
      <x:c r="N27" s="54" t="n">
        <x:v>46277</x:v>
      </x:c>
    </x:row>
    <x:row r="28">
      <x:c r="A28" s="48" t="str">
        <x:v>Q0027</x:v>
      </x:c>
      <x:c r="B28" s="48" t="str">
        <x:v>ORG003</x:v>
      </x:c>
      <x:c r="C28" s="48" t="str">
        <x:v>Staphylococcus saprophyticus</x:v>
      </x:c>
      <x:c r="D28" s="48" t="str">
        <x:v>Growth</x:v>
      </x:c>
      <x:c r="E28" s="48" t="str">
        <x:v>Strict aerobe?</x:v>
      </x:c>
      <x:c r="F28" s="48" t="str">
        <x:v>FALSE</x:v>
      </x:c>
      <x:c r="G28" s="48" t="str">
        <x:v>Oxygen requirement: Facultative Anaerobe.</x:v>
      </x:c>
      <x:c r="H28" s="48" t="str">
        <x:v>Medium</x:v>
      </x:c>
      <x:c r="I28" s="48" t="str">
        <x:v>High</x:v>
      </x:c>
      <x:c r="J28" s="48" t="str">
        <x:v>Bacterial Morphology &amp; Physiology Cantres 2026</x:v>
      </x:c>
      <x:c r="K28" s="48" t="str"/>
      <x:c r="L28" s="48" t="str">
        <x:v>TRUE</x:v>
      </x:c>
      <x:c r="M28" s="48" t="str"/>
      <x:c r="N28" s="54" t="n">
        <x:v>46277</x:v>
      </x:c>
    </x:row>
    <x:row r="29">
      <x:c r="A29" s="48" t="str">
        <x:v>Q0028</x:v>
      </x:c>
      <x:c r="B29" s="48" t="str">
        <x:v>ORG003</x:v>
      </x:c>
      <x:c r="C29" s="48" t="str">
        <x:v>Staphylococcus saprophyticus</x:v>
      </x:c>
      <x:c r="D29" s="48" t="str">
        <x:v>Biochemical</x:v>
      </x:c>
      <x:c r="E29" s="48" t="str">
        <x:v>Urease positive?</x:v>
      </x:c>
      <x:c r="F29" s="48" t="str">
        <x:v>TRUE</x:v>
      </x:c>
      <x:c r="G29" s="48" t="str">
        <x:v>Key test profile: Novobiocin resistant, Urease (+).</x:v>
      </x:c>
      <x:c r="H29" s="48" t="str">
        <x:v>Medium</x:v>
      </x:c>
      <x:c r="I29" s="48" t="str">
        <x:v>High</x:v>
      </x:c>
      <x:c r="J29" s="48" t="str">
        <x:v>Bacterial Morphology &amp; Physiology Cantres 2026</x:v>
      </x:c>
      <x:c r="K29" s="48" t="str"/>
      <x:c r="L29" s="48" t="str">
        <x:v>TRUE</x:v>
      </x:c>
      <x:c r="M29" s="48" t="str"/>
      <x:c r="N29" s="54" t="n">
        <x:v>46277</x:v>
      </x:c>
    </x:row>
    <x:row r="30">
      <x:c r="A30" s="48" t="str">
        <x:v>Q0029</x:v>
      </x:c>
      <x:c r="B30" s="48" t="str">
        <x:v>ORG004</x:v>
      </x:c>
      <x:c r="C30" s="48" t="str">
        <x:v>Streptococcus pyogenes (GAS)</x:v>
      </x:c>
      <x:c r="D30" s="48" t="str">
        <x:v>Morphology</x:v>
      </x:c>
      <x:c r="E30" s="48" t="str">
        <x:v>Gram-positive?</x:v>
      </x:c>
      <x:c r="F30" s="48" t="str">
        <x:v>TRUE</x:v>
      </x:c>
      <x:c r="G30" s="48" t="str">
        <x:v>Streptococcus pyogenes (GAS) is listed as Gram-Positive (+).</x:v>
      </x:c>
      <x:c r="H30" s="48" t="str">
        <x:v>Easy</x:v>
      </x:c>
      <x:c r="I30" s="48" t="str">
        <x:v>High</x:v>
      </x:c>
      <x:c r="J30" s="48" t="str">
        <x:v>Bacterial Morphology &amp; Physiology Cantres 2026</x:v>
      </x:c>
      <x:c r="K30" s="48" t="str"/>
      <x:c r="L30" s="48" t="str">
        <x:v>TRUE</x:v>
      </x:c>
      <x:c r="M30" s="48" t="str"/>
      <x:c r="N30" s="54" t="n">
        <x:v>46277</x:v>
      </x:c>
    </x:row>
    <x:row r="31">
      <x:c r="A31" s="48" t="str">
        <x:v>Q0030</x:v>
      </x:c>
      <x:c r="B31" s="48" t="str">
        <x:v>ORG004</x:v>
      </x:c>
      <x:c r="C31" s="48" t="str">
        <x:v>Streptococcus pyogenes (GAS)</x:v>
      </x:c>
      <x:c r="D31" s="48" t="str">
        <x:v>Biochemical</x:v>
      </x:c>
      <x:c r="E31" s="48" t="str">
        <x:v>Catalase positive?</x:v>
      </x:c>
      <x:c r="F31" s="48" t="str">
        <x:v>FALSE</x:v>
      </x:c>
      <x:c r="G31" s="48" t="str">
        <x:v>Catalase: Negative (-).</x:v>
      </x:c>
      <x:c r="H31" s="48" t="str">
        <x:v>Easy</x:v>
      </x:c>
      <x:c r="I31" s="48" t="str">
        <x:v>High</x:v>
      </x:c>
      <x:c r="J31" s="48" t="str">
        <x:v>Bacterial Morphology &amp; Physiology Cantres 2026</x:v>
      </x:c>
      <x:c r="K31" s="48" t="str"/>
      <x:c r="L31" s="48" t="str">
        <x:v>TRUE</x:v>
      </x:c>
      <x:c r="M31" s="48" t="str"/>
      <x:c r="N31" s="54" t="n">
        <x:v>46277</x:v>
      </x:c>
    </x:row>
    <x:row r="32">
      <x:c r="A32" s="48" t="str">
        <x:v>Q0031</x:v>
      </x:c>
      <x:c r="B32" s="48" t="str">
        <x:v>ORG004</x:v>
      </x:c>
      <x:c r="C32" s="48" t="str">
        <x:v>Streptococcus pyogenes (GAS)</x:v>
      </x:c>
      <x:c r="D32" s="48" t="str">
        <x:v>Biochemical</x:v>
      </x:c>
      <x:c r="E32" s="48" t="str">
        <x:v>Oxidase positive?</x:v>
      </x:c>
      <x:c r="F32" s="48" t="str">
        <x:v>FALSE</x:v>
      </x:c>
      <x:c r="G32" s="48" t="str">
        <x:v>Oxidase: Negative (-).</x:v>
      </x:c>
      <x:c r="H32" s="48" t="str">
        <x:v>Easy</x:v>
      </x:c>
      <x:c r="I32" s="48" t="str">
        <x:v>High</x:v>
      </x:c>
      <x:c r="J32" s="48" t="str">
        <x:v>Bacterial Morphology &amp; Physiology Cantres 2026</x:v>
      </x:c>
      <x:c r="K32" s="48" t="str"/>
      <x:c r="L32" s="48" t="str">
        <x:v>TRUE</x:v>
      </x:c>
      <x:c r="M32" s="48" t="str"/>
      <x:c r="N32" s="54" t="n">
        <x:v>46277</x:v>
      </x:c>
    </x:row>
    <x:row r="33">
      <x:c r="A33" s="48" t="str">
        <x:v>Q0032</x:v>
      </x:c>
      <x:c r="B33" s="48" t="str">
        <x:v>ORG004</x:v>
      </x:c>
      <x:c r="C33" s="48" t="str">
        <x:v>Streptococcus pyogenes (GAS)</x:v>
      </x:c>
      <x:c r="D33" s="48" t="str">
        <x:v>Morphology</x:v>
      </x:c>
      <x:c r="E33" s="48" t="str">
        <x:v>Motile?</x:v>
      </x:c>
      <x:c r="F33" s="48" t="str">
        <x:v>FALSE</x:v>
      </x:c>
      <x:c r="G33" s="48" t="str">
        <x:v>Motility: Non-motile.</x:v>
      </x:c>
      <x:c r="H33" s="48" t="str">
        <x:v>Easy</x:v>
      </x:c>
      <x:c r="I33" s="48" t="str">
        <x:v>High</x:v>
      </x:c>
      <x:c r="J33" s="48" t="str">
        <x:v>Bacterial Morphology &amp; Physiology Cantres 2026</x:v>
      </x:c>
      <x:c r="K33" s="48" t="str"/>
      <x:c r="L33" s="48" t="str">
        <x:v>TRUE</x:v>
      </x:c>
      <x:c r="M33" s="48" t="str"/>
      <x:c r="N33" s="54" t="n">
        <x:v>46277</x:v>
      </x:c>
    </x:row>
    <x:row r="34">
      <x:c r="A34" s="48" t="str">
        <x:v>Q0033</x:v>
      </x:c>
      <x:c r="B34" s="48" t="str">
        <x:v>ORG004</x:v>
      </x:c>
      <x:c r="C34" s="48" t="str">
        <x:v>Streptococcus pyogenes (GAS)</x:v>
      </x:c>
      <x:c r="D34" s="48" t="str">
        <x:v>Morphology</x:v>
      </x:c>
      <x:c r="E34" s="48" t="str">
        <x:v>Spore-forming?</x:v>
      </x:c>
      <x:c r="F34" s="48" t="str">
        <x:v>FALSE</x:v>
      </x:c>
      <x:c r="G34" s="48" t="str">
        <x:v>Spore formation: No.</x:v>
      </x:c>
      <x:c r="H34" s="48" t="str">
        <x:v>Easy</x:v>
      </x:c>
      <x:c r="I34" s="48" t="str">
        <x:v>High</x:v>
      </x:c>
      <x:c r="J34" s="48" t="str">
        <x:v>Bacterial Morphology &amp; Physiology Cantres 2026</x:v>
      </x:c>
      <x:c r="K34" s="48" t="str"/>
      <x:c r="L34" s="48" t="str">
        <x:v>TRUE</x:v>
      </x:c>
      <x:c r="M34" s="48" t="str"/>
      <x:c r="N34" s="54" t="n">
        <x:v>46277</x:v>
      </x:c>
    </x:row>
    <x:row r="35">
      <x:c r="A35" s="48" t="str">
        <x:v>Q0034</x:v>
      </x:c>
      <x:c r="B35" s="48" t="str">
        <x:v>ORG004</x:v>
      </x:c>
      <x:c r="C35" s="48" t="str">
        <x:v>Streptococcus pyogenes (GAS)</x:v>
      </x:c>
      <x:c r="D35" s="48" t="str">
        <x:v>Growth</x:v>
      </x:c>
      <x:c r="E35" s="48" t="str">
        <x:v>Facultative anaerobe?</x:v>
      </x:c>
      <x:c r="F35" s="48" t="str">
        <x:v>TRUE</x:v>
      </x:c>
      <x:c r="G35" s="48" t="str">
        <x:v>Oxygen requirement: Facultative Anaerobe.</x:v>
      </x:c>
      <x:c r="H35" s="48" t="str">
        <x:v>Medium</x:v>
      </x:c>
      <x:c r="I35" s="48" t="str">
        <x:v>High</x:v>
      </x:c>
      <x:c r="J35" s="48" t="str">
        <x:v>Bacterial Morphology &amp; Physiology Cantres 2026</x:v>
      </x:c>
      <x:c r="K35" s="48" t="str"/>
      <x:c r="L35" s="48" t="str">
        <x:v>TRUE</x:v>
      </x:c>
      <x:c r="M35" s="48" t="str"/>
      <x:c r="N35" s="54" t="n">
        <x:v>46277</x:v>
      </x:c>
    </x:row>
    <x:row r="36">
      <x:c r="A36" s="48" t="str">
        <x:v>Q0035</x:v>
      </x:c>
      <x:c r="B36" s="48" t="str">
        <x:v>ORG004</x:v>
      </x:c>
      <x:c r="C36" s="48" t="str">
        <x:v>Streptococcus pyogenes (GAS)</x:v>
      </x:c>
      <x:c r="D36" s="48" t="str">
        <x:v>Growth</x:v>
      </x:c>
      <x:c r="E36" s="48" t="str">
        <x:v>Strict aerobe?</x:v>
      </x:c>
      <x:c r="F36" s="48" t="str">
        <x:v>FALSE</x:v>
      </x:c>
      <x:c r="G36" s="48" t="str">
        <x:v>Oxygen requirement: Facultative Anaerobe.</x:v>
      </x:c>
      <x:c r="H36" s="48" t="str">
        <x:v>Medium</x:v>
      </x:c>
      <x:c r="I36" s="48" t="str">
        <x:v>High</x:v>
      </x:c>
      <x:c r="J36" s="48" t="str">
        <x:v>Bacterial Morphology &amp; Physiology Cantres 2026</x:v>
      </x:c>
      <x:c r="K36" s="48" t="str"/>
      <x:c r="L36" s="48" t="str">
        <x:v>TRUE</x:v>
      </x:c>
      <x:c r="M36" s="48" t="str"/>
      <x:c r="N36" s="54" t="n">
        <x:v>46277</x:v>
      </x:c>
    </x:row>
    <x:row r="37">
      <x:c r="A37" s="48" t="str">
        <x:v>Q0036</x:v>
      </x:c>
      <x:c r="B37" s="48" t="str">
        <x:v>ORG004</x:v>
      </x:c>
      <x:c r="C37" s="48" t="str">
        <x:v>Streptococcus pyogenes (GAS)</x:v>
      </x:c>
      <x:c r="D37" s="48" t="str">
        <x:v>Growth</x:v>
      </x:c>
      <x:c r="E37" s="48" t="str">
        <x:v>Beta-hemolytic?</x:v>
      </x:c>
      <x:c r="F37" s="48" t="str">
        <x:v>TRUE</x:v>
      </x:c>
      <x:c r="G37" s="48" t="str">
        <x:v>Hemolysis: Beta (β).</x:v>
      </x:c>
      <x:c r="H37" s="48" t="str">
        <x:v>Medium</x:v>
      </x:c>
      <x:c r="I37" s="48" t="str">
        <x:v>High</x:v>
      </x:c>
      <x:c r="J37" s="48" t="str">
        <x:v>Bacterial Morphology &amp; Physiology Cantres 2026</x:v>
      </x:c>
      <x:c r="K37" s="48" t="str"/>
      <x:c r="L37" s="48" t="str">
        <x:v>TRUE</x:v>
      </x:c>
      <x:c r="M37" s="48" t="str"/>
      <x:c r="N37" s="54" t="n">
        <x:v>46277</x:v>
      </x:c>
    </x:row>
    <x:row r="38">
      <x:c r="A38" s="48" t="str">
        <x:v>Q0037</x:v>
      </x:c>
      <x:c r="B38" s="48" t="str">
        <x:v>ORG004</x:v>
      </x:c>
      <x:c r="C38" s="48" t="str">
        <x:v>Streptococcus pyogenes (GAS)</x:v>
      </x:c>
      <x:c r="D38" s="48" t="str">
        <x:v>Biochemical</x:v>
      </x:c>
      <x:c r="E38" s="48" t="str">
        <x:v>Bacitracin sensitive?</x:v>
      </x:c>
      <x:c r="F38" s="48" t="str">
        <x:v>TRUE</x:v>
      </x:c>
      <x:c r="G38" s="48" t="str">
        <x:v>Key test profile: Bacitracin sensitive (+), PYR positive (+), Lancefield Group A C-carbohydrate.</x:v>
      </x:c>
      <x:c r="H38" s="48" t="str">
        <x:v>Medium</x:v>
      </x:c>
      <x:c r="I38" s="48" t="str">
        <x:v>High</x:v>
      </x:c>
      <x:c r="J38" s="48" t="str">
        <x:v>Bacterial Morphology &amp; Physiology Cantres 2026</x:v>
      </x:c>
      <x:c r="K38" s="48" t="str"/>
      <x:c r="L38" s="48" t="str">
        <x:v>TRUE</x:v>
      </x:c>
      <x:c r="M38" s="48" t="str"/>
      <x:c r="N38" s="54" t="n">
        <x:v>46277</x:v>
      </x:c>
    </x:row>
    <x:row r="39">
      <x:c r="A39" s="48" t="str">
        <x:v>Q0038</x:v>
      </x:c>
      <x:c r="B39" s="48" t="str">
        <x:v>ORG004</x:v>
      </x:c>
      <x:c r="C39" s="48" t="str">
        <x:v>Streptococcus pyogenes (GAS)</x:v>
      </x:c>
      <x:c r="D39" s="48" t="str">
        <x:v>Biochemical</x:v>
      </x:c>
      <x:c r="E39" s="48" t="str">
        <x:v>PYR positive?</x:v>
      </x:c>
      <x:c r="F39" s="48" t="str">
        <x:v>TRUE</x:v>
      </x:c>
      <x:c r="G39" s="48" t="str">
        <x:v>Key test profile: Bacitracin sensitive (+), PYR positive (+), Lancefield Group A C-carbohydrate.</x:v>
      </x:c>
      <x:c r="H39" s="48" t="str">
        <x:v>Medium</x:v>
      </x:c>
      <x:c r="I39" s="48" t="str">
        <x:v>High</x:v>
      </x:c>
      <x:c r="J39" s="48" t="str">
        <x:v>Bacterial Morphology &amp; Physiology Cantres 2026</x:v>
      </x:c>
      <x:c r="K39" s="48" t="str"/>
      <x:c r="L39" s="48" t="str">
        <x:v>TRUE</x:v>
      </x:c>
      <x:c r="M39" s="48" t="str"/>
      <x:c r="N39" s="54" t="n">
        <x:v>46277</x:v>
      </x:c>
    </x:row>
    <x:row r="40">
      <x:c r="A40" s="48" t="str">
        <x:v>Q0039</x:v>
      </x:c>
      <x:c r="B40" s="48" t="str">
        <x:v>ORG005</x:v>
      </x:c>
      <x:c r="C40" s="48" t="str">
        <x:v>Streptococcus agalactiae (GBS)</x:v>
      </x:c>
      <x:c r="D40" s="48" t="str">
        <x:v>Morphology</x:v>
      </x:c>
      <x:c r="E40" s="48" t="str">
        <x:v>Gram-positive?</x:v>
      </x:c>
      <x:c r="F40" s="48" t="str">
        <x:v>TRUE</x:v>
      </x:c>
      <x:c r="G40" s="48" t="str">
        <x:v>Streptococcus agalactiae (GBS) is listed as Gram-Positive (+).</x:v>
      </x:c>
      <x:c r="H40" s="48" t="str">
        <x:v>Easy</x:v>
      </x:c>
      <x:c r="I40" s="48" t="str">
        <x:v>High</x:v>
      </x:c>
      <x:c r="J40" s="48" t="str">
        <x:v>Bacterial Morphology &amp; Physiology Cantres 2026</x:v>
      </x:c>
      <x:c r="K40" s="48" t="str"/>
      <x:c r="L40" s="48" t="str">
        <x:v>TRUE</x:v>
      </x:c>
      <x:c r="M40" s="48" t="str"/>
      <x:c r="N40" s="54" t="n">
        <x:v>46277</x:v>
      </x:c>
    </x:row>
    <x:row r="41">
      <x:c r="A41" s="48" t="str">
        <x:v>Q0040</x:v>
      </x:c>
      <x:c r="B41" s="48" t="str">
        <x:v>ORG005</x:v>
      </x:c>
      <x:c r="C41" s="48" t="str">
        <x:v>Streptococcus agalactiae (GBS)</x:v>
      </x:c>
      <x:c r="D41" s="48" t="str">
        <x:v>Biochemical</x:v>
      </x:c>
      <x:c r="E41" s="48" t="str">
        <x:v>Catalase positive?</x:v>
      </x:c>
      <x:c r="F41" s="48" t="str">
        <x:v>FALSE</x:v>
      </x:c>
      <x:c r="G41" s="48" t="str">
        <x:v>Catalase: Negative (-).</x:v>
      </x:c>
      <x:c r="H41" s="48" t="str">
        <x:v>Easy</x:v>
      </x:c>
      <x:c r="I41" s="48" t="str">
        <x:v>High</x:v>
      </x:c>
      <x:c r="J41" s="48" t="str">
        <x:v>Bacterial Morphology &amp; Physiology Cantres 2026</x:v>
      </x:c>
      <x:c r="K41" s="48" t="str"/>
      <x:c r="L41" s="48" t="str">
        <x:v>TRUE</x:v>
      </x:c>
      <x:c r="M41" s="48" t="str"/>
      <x:c r="N41" s="54" t="n">
        <x:v>46277</x:v>
      </x:c>
    </x:row>
    <x:row r="42">
      <x:c r="A42" s="48" t="str">
        <x:v>Q0041</x:v>
      </x:c>
      <x:c r="B42" s="48" t="str">
        <x:v>ORG005</x:v>
      </x:c>
      <x:c r="C42" s="48" t="str">
        <x:v>Streptococcus agalactiae (GBS)</x:v>
      </x:c>
      <x:c r="D42" s="48" t="str">
        <x:v>Biochemical</x:v>
      </x:c>
      <x:c r="E42" s="48" t="str">
        <x:v>Oxidase positive?</x:v>
      </x:c>
      <x:c r="F42" s="48" t="str">
        <x:v>FALSE</x:v>
      </x:c>
      <x:c r="G42" s="48" t="str">
        <x:v>Oxidase: Negative (-).</x:v>
      </x:c>
      <x:c r="H42" s="48" t="str">
        <x:v>Easy</x:v>
      </x:c>
      <x:c r="I42" s="48" t="str">
        <x:v>High</x:v>
      </x:c>
      <x:c r="J42" s="48" t="str">
        <x:v>Bacterial Morphology &amp; Physiology Cantres 2026</x:v>
      </x:c>
      <x:c r="K42" s="48" t="str"/>
      <x:c r="L42" s="48" t="str">
        <x:v>TRUE</x:v>
      </x:c>
      <x:c r="M42" s="48" t="str"/>
      <x:c r="N42" s="54" t="n">
        <x:v>46277</x:v>
      </x:c>
    </x:row>
    <x:row r="43">
      <x:c r="A43" s="48" t="str">
        <x:v>Q0042</x:v>
      </x:c>
      <x:c r="B43" s="48" t="str">
        <x:v>ORG005</x:v>
      </x:c>
      <x:c r="C43" s="48" t="str">
        <x:v>Streptococcus agalactiae (GBS)</x:v>
      </x:c>
      <x:c r="D43" s="48" t="str">
        <x:v>Morphology</x:v>
      </x:c>
      <x:c r="E43" s="48" t="str">
        <x:v>Motile?</x:v>
      </x:c>
      <x:c r="F43" s="48" t="str">
        <x:v>FALSE</x:v>
      </x:c>
      <x:c r="G43" s="48" t="str">
        <x:v>Motility: Non-motile.</x:v>
      </x:c>
      <x:c r="H43" s="48" t="str">
        <x:v>Easy</x:v>
      </x:c>
      <x:c r="I43" s="48" t="str">
        <x:v>High</x:v>
      </x:c>
      <x:c r="J43" s="48" t="str">
        <x:v>Bacterial Morphology &amp; Physiology Cantres 2026</x:v>
      </x:c>
      <x:c r="K43" s="48" t="str"/>
      <x:c r="L43" s="48" t="str">
        <x:v>TRUE</x:v>
      </x:c>
      <x:c r="M43" s="48" t="str"/>
      <x:c r="N43" s="54" t="n">
        <x:v>46277</x:v>
      </x:c>
    </x:row>
    <x:row r="44">
      <x:c r="A44" s="48" t="str">
        <x:v>Q0043</x:v>
      </x:c>
      <x:c r="B44" s="48" t="str">
        <x:v>ORG005</x:v>
      </x:c>
      <x:c r="C44" s="48" t="str">
        <x:v>Streptococcus agalactiae (GBS)</x:v>
      </x:c>
      <x:c r="D44" s="48" t="str">
        <x:v>Morphology</x:v>
      </x:c>
      <x:c r="E44" s="48" t="str">
        <x:v>Spore-forming?</x:v>
      </x:c>
      <x:c r="F44" s="48" t="str">
        <x:v>FALSE</x:v>
      </x:c>
      <x:c r="G44" s="48" t="str">
        <x:v>Spore formation: No.</x:v>
      </x:c>
      <x:c r="H44" s="48" t="str">
        <x:v>Easy</x:v>
      </x:c>
      <x:c r="I44" s="48" t="str">
        <x:v>High</x:v>
      </x:c>
      <x:c r="J44" s="48" t="str">
        <x:v>Bacterial Morphology &amp; Physiology Cantres 2026</x:v>
      </x:c>
      <x:c r="K44" s="48" t="str"/>
      <x:c r="L44" s="48" t="str">
        <x:v>TRUE</x:v>
      </x:c>
      <x:c r="M44" s="48" t="str"/>
      <x:c r="N44" s="54" t="n">
        <x:v>46277</x:v>
      </x:c>
    </x:row>
    <x:row r="45">
      <x:c r="A45" s="48" t="str">
        <x:v>Q0044</x:v>
      </x:c>
      <x:c r="B45" s="48" t="str">
        <x:v>ORG005</x:v>
      </x:c>
      <x:c r="C45" s="48" t="str">
        <x:v>Streptococcus agalactiae (GBS)</x:v>
      </x:c>
      <x:c r="D45" s="48" t="str">
        <x:v>Growth</x:v>
      </x:c>
      <x:c r="E45" s="48" t="str">
        <x:v>Facultative anaerobe?</x:v>
      </x:c>
      <x:c r="F45" s="48" t="str">
        <x:v>TRUE</x:v>
      </x:c>
      <x:c r="G45" s="48" t="str">
        <x:v>Oxygen requirement: Facultative Anaerobe.</x:v>
      </x:c>
      <x:c r="H45" s="48" t="str">
        <x:v>Medium</x:v>
      </x:c>
      <x:c r="I45" s="48" t="str">
        <x:v>High</x:v>
      </x:c>
      <x:c r="J45" s="48" t="str">
        <x:v>Bacterial Morphology &amp; Physiology Cantres 2026</x:v>
      </x:c>
      <x:c r="K45" s="48" t="str"/>
      <x:c r="L45" s="48" t="str">
        <x:v>TRUE</x:v>
      </x:c>
      <x:c r="M45" s="48" t="str"/>
      <x:c r="N45" s="54" t="n">
        <x:v>46277</x:v>
      </x:c>
    </x:row>
    <x:row r="46">
      <x:c r="A46" s="48" t="str">
        <x:v>Q0045</x:v>
      </x:c>
      <x:c r="B46" s="48" t="str">
        <x:v>ORG005</x:v>
      </x:c>
      <x:c r="C46" s="48" t="str">
        <x:v>Streptococcus agalactiae (GBS)</x:v>
      </x:c>
      <x:c r="D46" s="48" t="str">
        <x:v>Growth</x:v>
      </x:c>
      <x:c r="E46" s="48" t="str">
        <x:v>Strict aerobe?</x:v>
      </x:c>
      <x:c r="F46" s="48" t="str">
        <x:v>FALSE</x:v>
      </x:c>
      <x:c r="G46" s="48" t="str">
        <x:v>Oxygen requirement: Facultative Anaerobe.</x:v>
      </x:c>
      <x:c r="H46" s="48" t="str">
        <x:v>Medium</x:v>
      </x:c>
      <x:c r="I46" s="48" t="str">
        <x:v>High</x:v>
      </x:c>
      <x:c r="J46" s="48" t="str">
        <x:v>Bacterial Morphology &amp; Physiology Cantres 2026</x:v>
      </x:c>
      <x:c r="K46" s="48" t="str"/>
      <x:c r="L46" s="48" t="str">
        <x:v>TRUE</x:v>
      </x:c>
      <x:c r="M46" s="48" t="str"/>
      <x:c r="N46" s="54" t="n">
        <x:v>46277</x:v>
      </x:c>
    </x:row>
    <x:row r="47">
      <x:c r="A47" s="48" t="str">
        <x:v>Q0046</x:v>
      </x:c>
      <x:c r="B47" s="48" t="str">
        <x:v>ORG005</x:v>
      </x:c>
      <x:c r="C47" s="48" t="str">
        <x:v>Streptococcus agalactiae (GBS)</x:v>
      </x:c>
      <x:c r="D47" s="48" t="str">
        <x:v>Growth</x:v>
      </x:c>
      <x:c r="E47" s="48" t="str">
        <x:v>Beta-hemolytic?</x:v>
      </x:c>
      <x:c r="F47" s="48" t="str">
        <x:v>TRUE</x:v>
      </x:c>
      <x:c r="G47" s="48" t="str">
        <x:v>Hemolysis: Beta (β) (narrow zone).</x:v>
      </x:c>
      <x:c r="H47" s="48" t="str">
        <x:v>Medium</x:v>
      </x:c>
      <x:c r="I47" s="48" t="str">
        <x:v>High</x:v>
      </x:c>
      <x:c r="J47" s="48" t="str">
        <x:v>Bacterial Morphology &amp; Physiology Cantres 2026</x:v>
      </x:c>
      <x:c r="K47" s="48" t="str"/>
      <x:c r="L47" s="48" t="str">
        <x:v>TRUE</x:v>
      </x:c>
      <x:c r="M47" s="48" t="str"/>
      <x:c r="N47" s="54" t="n">
        <x:v>46277</x:v>
      </x:c>
    </x:row>
    <x:row r="48">
      <x:c r="A48" s="48" t="str">
        <x:v>Q0047</x:v>
      </x:c>
      <x:c r="B48" s="48" t="str">
        <x:v>ORG005</x:v>
      </x:c>
      <x:c r="C48" s="48" t="str">
        <x:v>Streptococcus agalactiae (GBS)</x:v>
      </x:c>
      <x:c r="D48" s="48" t="str">
        <x:v>Biochemical</x:v>
      </x:c>
      <x:c r="E48" s="48" t="str">
        <x:v>Bacitracin sensitive?</x:v>
      </x:c>
      <x:c r="F48" s="48" t="str">
        <x:v>FALSE</x:v>
      </x:c>
      <x:c r="G48" s="48" t="str">
        <x:v>Key test profile: Bacitracin resistant (-), CAMP test positive (+), Hippurate hydrolysis positive (+), Lancefield Group B.</x:v>
      </x:c>
      <x:c r="H48" s="48" t="str">
        <x:v>Medium</x:v>
      </x:c>
      <x:c r="I48" s="48" t="str">
        <x:v>High</x:v>
      </x:c>
      <x:c r="J48" s="48" t="str">
        <x:v>Bacterial Morphology &amp; Physiology Cantres 2026</x:v>
      </x:c>
      <x:c r="K48" s="48" t="str"/>
      <x:c r="L48" s="48" t="str">
        <x:v>TRUE</x:v>
      </x:c>
      <x:c r="M48" s="48" t="str"/>
      <x:c r="N48" s="54" t="n">
        <x:v>46277</x:v>
      </x:c>
    </x:row>
    <x:row r="49">
      <x:c r="A49" s="48" t="str">
        <x:v>Q0048</x:v>
      </x:c>
      <x:c r="B49" s="48" t="str">
        <x:v>ORG005</x:v>
      </x:c>
      <x:c r="C49" s="48" t="str">
        <x:v>Streptococcus agalactiae (GBS)</x:v>
      </x:c>
      <x:c r="D49" s="48" t="str">
        <x:v>Biochemical</x:v>
      </x:c>
      <x:c r="E49" s="48" t="str">
        <x:v>CAMP test positive?</x:v>
      </x:c>
      <x:c r="F49" s="48" t="str">
        <x:v>TRUE</x:v>
      </x:c>
      <x:c r="G49" s="48" t="str">
        <x:v>Key test profile: Bacitracin resistant (-), CAMP test positive (+), Hippurate hydrolysis positive (+), Lancefield Group B.</x:v>
      </x:c>
      <x:c r="H49" s="48" t="str">
        <x:v>Medium</x:v>
      </x:c>
      <x:c r="I49" s="48" t="str">
        <x:v>High</x:v>
      </x:c>
      <x:c r="J49" s="48" t="str">
        <x:v>Bacterial Morphology &amp; Physiology Cantres 2026</x:v>
      </x:c>
      <x:c r="K49" s="48" t="str"/>
      <x:c r="L49" s="48" t="str">
        <x:v>TRUE</x:v>
      </x:c>
      <x:c r="M49" s="48" t="str"/>
      <x:c r="N49" s="54" t="n">
        <x:v>46277</x:v>
      </x:c>
    </x:row>
    <x:row r="50">
      <x:c r="A50" s="48" t="str">
        <x:v>Q0049</x:v>
      </x:c>
      <x:c r="B50" s="48" t="str">
        <x:v>ORG005</x:v>
      </x:c>
      <x:c r="C50" s="48" t="str">
        <x:v>Streptococcus agalactiae (GBS)</x:v>
      </x:c>
      <x:c r="D50" s="48" t="str">
        <x:v>Biochemical</x:v>
      </x:c>
      <x:c r="E50" s="48" t="str">
        <x:v>Hippurate hydrolysis positive?</x:v>
      </x:c>
      <x:c r="F50" s="48" t="str">
        <x:v>TRUE</x:v>
      </x:c>
      <x:c r="G50" s="48" t="str">
        <x:v>Key test profile: Bacitracin resistant (-), CAMP test positive (+), Hippurate hydrolysis positive (+), Lancefield Group B.</x:v>
      </x:c>
      <x:c r="H50" s="48" t="str">
        <x:v>Medium</x:v>
      </x:c>
      <x:c r="I50" s="48" t="str">
        <x:v>High</x:v>
      </x:c>
      <x:c r="J50" s="48" t="str">
        <x:v>Bacterial Morphology &amp; Physiology Cantres 2026</x:v>
      </x:c>
      <x:c r="K50" s="48" t="str"/>
      <x:c r="L50" s="48" t="str">
        <x:v>TRUE</x:v>
      </x:c>
      <x:c r="M50" s="48" t="str"/>
      <x:c r="N50" s="54" t="n">
        <x:v>46277</x:v>
      </x:c>
    </x:row>
    <x:row r="51">
      <x:c r="A51" s="48" t="str">
        <x:v>Q0050</x:v>
      </x:c>
      <x:c r="B51" s="48" t="str">
        <x:v>ORG006</x:v>
      </x:c>
      <x:c r="C51" s="48" t="str">
        <x:v>Streptococcus pneumoniae</x:v>
      </x:c>
      <x:c r="D51" s="48" t="str">
        <x:v>Morphology</x:v>
      </x:c>
      <x:c r="E51" s="48" t="str">
        <x:v>Gram-positive?</x:v>
      </x:c>
      <x:c r="F51" s="48" t="str">
        <x:v>TRUE</x:v>
      </x:c>
      <x:c r="G51" s="48" t="str">
        <x:v>Streptococcus pneumoniae is listed as Gram-Positive (+).</x:v>
      </x:c>
      <x:c r="H51" s="48" t="str">
        <x:v>Easy</x:v>
      </x:c>
      <x:c r="I51" s="48" t="str">
        <x:v>High</x:v>
      </x:c>
      <x:c r="J51" s="48" t="str">
        <x:v>Bacterial Morphology &amp; Physiology Cantres 2026</x:v>
      </x:c>
      <x:c r="K51" s="48" t="str"/>
      <x:c r="L51" s="48" t="str">
        <x:v>TRUE</x:v>
      </x:c>
      <x:c r="M51" s="48" t="str"/>
      <x:c r="N51" s="54" t="n">
        <x:v>46277</x:v>
      </x:c>
    </x:row>
    <x:row r="52">
      <x:c r="A52" s="48" t="str">
        <x:v>Q0051</x:v>
      </x:c>
      <x:c r="B52" s="48" t="str">
        <x:v>ORG006</x:v>
      </x:c>
      <x:c r="C52" s="48" t="str">
        <x:v>Streptococcus pneumoniae</x:v>
      </x:c>
      <x:c r="D52" s="48" t="str">
        <x:v>Biochemical</x:v>
      </x:c>
      <x:c r="E52" s="48" t="str">
        <x:v>Catalase positive?</x:v>
      </x:c>
      <x:c r="F52" s="48" t="str">
        <x:v>FALSE</x:v>
      </x:c>
      <x:c r="G52" s="48" t="str">
        <x:v>Catalase: Negative (-).</x:v>
      </x:c>
      <x:c r="H52" s="48" t="str">
        <x:v>Easy</x:v>
      </x:c>
      <x:c r="I52" s="48" t="str">
        <x:v>High</x:v>
      </x:c>
      <x:c r="J52" s="48" t="str">
        <x:v>Bacterial Morphology &amp; Physiology Cantres 2026</x:v>
      </x:c>
      <x:c r="K52" s="48" t="str"/>
      <x:c r="L52" s="48" t="str">
        <x:v>TRUE</x:v>
      </x:c>
      <x:c r="M52" s="48" t="str"/>
      <x:c r="N52" s="54" t="n">
        <x:v>46277</x:v>
      </x:c>
    </x:row>
    <x:row r="53">
      <x:c r="A53" s="48" t="str">
        <x:v>Q0052</x:v>
      </x:c>
      <x:c r="B53" s="48" t="str">
        <x:v>ORG006</x:v>
      </x:c>
      <x:c r="C53" s="48" t="str">
        <x:v>Streptococcus pneumoniae</x:v>
      </x:c>
      <x:c r="D53" s="48" t="str">
        <x:v>Biochemical</x:v>
      </x:c>
      <x:c r="E53" s="48" t="str">
        <x:v>Oxidase positive?</x:v>
      </x:c>
      <x:c r="F53" s="48" t="str">
        <x:v>FALSE</x:v>
      </x:c>
      <x:c r="G53" s="48" t="str">
        <x:v>Oxidase: Negative (-).</x:v>
      </x:c>
      <x:c r="H53" s="48" t="str">
        <x:v>Easy</x:v>
      </x:c>
      <x:c r="I53" s="48" t="str">
        <x:v>High</x:v>
      </x:c>
      <x:c r="J53" s="48" t="str">
        <x:v>Bacterial Morphology &amp; Physiology Cantres 2026</x:v>
      </x:c>
      <x:c r="K53" s="48" t="str"/>
      <x:c r="L53" s="48" t="str">
        <x:v>TRUE</x:v>
      </x:c>
      <x:c r="M53" s="48" t="str"/>
      <x:c r="N53" s="54" t="n">
        <x:v>46277</x:v>
      </x:c>
    </x:row>
    <x:row r="54">
      <x:c r="A54" s="48" t="str">
        <x:v>Q0053</x:v>
      </x:c>
      <x:c r="B54" s="48" t="str">
        <x:v>ORG006</x:v>
      </x:c>
      <x:c r="C54" s="48" t="str">
        <x:v>Streptococcus pneumoniae</x:v>
      </x:c>
      <x:c r="D54" s="48" t="str">
        <x:v>Morphology</x:v>
      </x:c>
      <x:c r="E54" s="48" t="str">
        <x:v>Motile?</x:v>
      </x:c>
      <x:c r="F54" s="48" t="str">
        <x:v>FALSE</x:v>
      </x:c>
      <x:c r="G54" s="48" t="str">
        <x:v>Motility: Non-motile.</x:v>
      </x:c>
      <x:c r="H54" s="48" t="str">
        <x:v>Easy</x:v>
      </x:c>
      <x:c r="I54" s="48" t="str">
        <x:v>High</x:v>
      </x:c>
      <x:c r="J54" s="48" t="str">
        <x:v>Bacterial Morphology &amp; Physiology Cantres 2026</x:v>
      </x:c>
      <x:c r="K54" s="48" t="str"/>
      <x:c r="L54" s="48" t="str">
        <x:v>TRUE</x:v>
      </x:c>
      <x:c r="M54" s="48" t="str"/>
      <x:c r="N54" s="54" t="n">
        <x:v>46277</x:v>
      </x:c>
    </x:row>
    <x:row r="55">
      <x:c r="A55" s="48" t="str">
        <x:v>Q0054</x:v>
      </x:c>
      <x:c r="B55" s="48" t="str">
        <x:v>ORG006</x:v>
      </x:c>
      <x:c r="C55" s="48" t="str">
        <x:v>Streptococcus pneumoniae</x:v>
      </x:c>
      <x:c r="D55" s="48" t="str">
        <x:v>Morphology</x:v>
      </x:c>
      <x:c r="E55" s="48" t="str">
        <x:v>Spore-forming?</x:v>
      </x:c>
      <x:c r="F55" s="48" t="str">
        <x:v>FALSE</x:v>
      </x:c>
      <x:c r="G55" s="48" t="str">
        <x:v>Spore formation: No.</x:v>
      </x:c>
      <x:c r="H55" s="48" t="str">
        <x:v>Easy</x:v>
      </x:c>
      <x:c r="I55" s="48" t="str">
        <x:v>High</x:v>
      </x:c>
      <x:c r="J55" s="48" t="str">
        <x:v>Bacterial Morphology &amp; Physiology Cantres 2026</x:v>
      </x:c>
      <x:c r="K55" s="48" t="str"/>
      <x:c r="L55" s="48" t="str">
        <x:v>TRUE</x:v>
      </x:c>
      <x:c r="M55" s="48" t="str"/>
      <x:c r="N55" s="54" t="n">
        <x:v>46277</x:v>
      </x:c>
    </x:row>
    <x:row r="56">
      <x:c r="A56" s="48" t="str">
        <x:v>Q0055</x:v>
      </x:c>
      <x:c r="B56" s="48" t="str">
        <x:v>ORG006</x:v>
      </x:c>
      <x:c r="C56" s="48" t="str">
        <x:v>Streptococcus pneumoniae</x:v>
      </x:c>
      <x:c r="D56" s="48" t="str">
        <x:v>Growth</x:v>
      </x:c>
      <x:c r="E56" s="48" t="str">
        <x:v>Facultative anaerobe?</x:v>
      </x:c>
      <x:c r="F56" s="48" t="str">
        <x:v>TRUE</x:v>
      </x:c>
      <x:c r="G56" s="48" t="str">
        <x:v>Oxygen requirement: Facultative Anaerobe.</x:v>
      </x:c>
      <x:c r="H56" s="48" t="str">
        <x:v>Medium</x:v>
      </x:c>
      <x:c r="I56" s="48" t="str">
        <x:v>High</x:v>
      </x:c>
      <x:c r="J56" s="48" t="str">
        <x:v>Bacterial Morphology &amp; Physiology Cantres 2026</x:v>
      </x:c>
      <x:c r="K56" s="48" t="str"/>
      <x:c r="L56" s="48" t="str">
        <x:v>TRUE</x:v>
      </x:c>
      <x:c r="M56" s="48" t="str"/>
      <x:c r="N56" s="54" t="n">
        <x:v>46277</x:v>
      </x:c>
    </x:row>
    <x:row r="57">
      <x:c r="A57" s="48" t="str">
        <x:v>Q0056</x:v>
      </x:c>
      <x:c r="B57" s="48" t="str">
        <x:v>ORG006</x:v>
      </x:c>
      <x:c r="C57" s="48" t="str">
        <x:v>Streptococcus pneumoniae</x:v>
      </x:c>
      <x:c r="D57" s="48" t="str">
        <x:v>Growth</x:v>
      </x:c>
      <x:c r="E57" s="48" t="str">
        <x:v>Strict aerobe?</x:v>
      </x:c>
      <x:c r="F57" s="48" t="str">
        <x:v>FALSE</x:v>
      </x:c>
      <x:c r="G57" s="48" t="str">
        <x:v>Oxygen requirement: Facultative Anaerobe.</x:v>
      </x:c>
      <x:c r="H57" s="48" t="str">
        <x:v>Medium</x:v>
      </x:c>
      <x:c r="I57" s="48" t="str">
        <x:v>High</x:v>
      </x:c>
      <x:c r="J57" s="48" t="str">
        <x:v>Bacterial Morphology &amp; Physiology Cantres 2026</x:v>
      </x:c>
      <x:c r="K57" s="48" t="str"/>
      <x:c r="L57" s="48" t="str">
        <x:v>TRUE</x:v>
      </x:c>
      <x:c r="M57" s="48" t="str"/>
      <x:c r="N57" s="54" t="n">
        <x:v>46277</x:v>
      </x:c>
    </x:row>
    <x:row r="58">
      <x:c r="A58" s="48" t="str">
        <x:v>Q0057</x:v>
      </x:c>
      <x:c r="B58" s="48" t="str">
        <x:v>ORG006</x:v>
      </x:c>
      <x:c r="C58" s="48" t="str">
        <x:v>Streptococcus pneumoniae</x:v>
      </x:c>
      <x:c r="D58" s="48" t="str">
        <x:v>Growth</x:v>
      </x:c>
      <x:c r="E58" s="48" t="str">
        <x:v>Beta-hemolytic?</x:v>
      </x:c>
      <x:c r="F58" s="48" t="str">
        <x:v>FALSE</x:v>
      </x:c>
      <x:c r="G58" s="48" t="str">
        <x:v>Hemolysis: Alpha (α).</x:v>
      </x:c>
      <x:c r="H58" s="48" t="str">
        <x:v>Medium</x:v>
      </x:c>
      <x:c r="I58" s="48" t="str">
        <x:v>High</x:v>
      </x:c>
      <x:c r="J58" s="48" t="str">
        <x:v>Bacterial Morphology &amp; Physiology Cantres 2026</x:v>
      </x:c>
      <x:c r="K58" s="48" t="str"/>
      <x:c r="L58" s="48" t="str">
        <x:v>TRUE</x:v>
      </x:c>
      <x:c r="M58" s="48" t="str"/>
      <x:c r="N58" s="54" t="n">
        <x:v>46277</x:v>
      </x:c>
    </x:row>
    <x:row r="59">
      <x:c r="A59" s="48" t="str">
        <x:v>Q0058</x:v>
      </x:c>
      <x:c r="B59" s="48" t="str">
        <x:v>ORG006</x:v>
      </x:c>
      <x:c r="C59" s="48" t="str">
        <x:v>Streptococcus pneumoniae</x:v>
      </x:c>
      <x:c r="D59" s="48" t="str">
        <x:v>Growth</x:v>
      </x:c>
      <x:c r="E59" s="48" t="str">
        <x:v>Alpha-hemolytic?</x:v>
      </x:c>
      <x:c r="F59" s="48" t="str">
        <x:v>TRUE</x:v>
      </x:c>
      <x:c r="G59" s="48" t="str">
        <x:v>Hemolysis: Alpha (α).</x:v>
      </x:c>
      <x:c r="H59" s="48" t="str">
        <x:v>Medium</x:v>
      </x:c>
      <x:c r="I59" s="48" t="str">
        <x:v>High</x:v>
      </x:c>
      <x:c r="J59" s="48" t="str">
        <x:v>Bacterial Morphology &amp; Physiology Cantres 2026</x:v>
      </x:c>
      <x:c r="K59" s="48" t="str"/>
      <x:c r="L59" s="48" t="str">
        <x:v>TRUE</x:v>
      </x:c>
      <x:c r="M59" s="48" t="str"/>
      <x:c r="N59" s="54" t="n">
        <x:v>46277</x:v>
      </x:c>
    </x:row>
    <x:row r="60">
      <x:c r="A60" s="48" t="str">
        <x:v>Q0059</x:v>
      </x:c>
      <x:c r="B60" s="48" t="str">
        <x:v>ORG006</x:v>
      </x:c>
      <x:c r="C60" s="48" t="str">
        <x:v>Streptococcus pneumoniae</x:v>
      </x:c>
      <x:c r="D60" s="48" t="str">
        <x:v>Biochemical</x:v>
      </x:c>
      <x:c r="E60" s="48" t="str">
        <x:v>Optochin sensitive?</x:v>
      </x:c>
      <x:c r="F60" s="48" t="str">
        <x:v>TRUE</x:v>
      </x:c>
      <x:c r="G60" s="48" t="str">
        <x:v>Key test profile: Optochin sensitive (+), Bile soluble (+) (lysed by bile/deoxycholate).</x:v>
      </x:c>
      <x:c r="H60" s="48" t="str">
        <x:v>Medium</x:v>
      </x:c>
      <x:c r="I60" s="48" t="str">
        <x:v>High</x:v>
      </x:c>
      <x:c r="J60" s="48" t="str">
        <x:v>Bacterial Morphology &amp; Physiology Cantres 2026</x:v>
      </x:c>
      <x:c r="K60" s="48" t="str"/>
      <x:c r="L60" s="48" t="str">
        <x:v>TRUE</x:v>
      </x:c>
      <x:c r="M60" s="48" t="str"/>
      <x:c r="N60" s="54" t="n">
        <x:v>46277</x:v>
      </x:c>
    </x:row>
    <x:row r="61">
      <x:c r="A61" s="48" t="str">
        <x:v>Q0060</x:v>
      </x:c>
      <x:c r="B61" s="48" t="str">
        <x:v>ORG007</x:v>
      </x:c>
      <x:c r="C61" s="48" t="str">
        <x:v>Viridans Group Streptococci (S. mutans, S. sanguinis)</x:v>
      </x:c>
      <x:c r="D61" s="48" t="str">
        <x:v>Morphology</x:v>
      </x:c>
      <x:c r="E61" s="48" t="str">
        <x:v>Gram-positive?</x:v>
      </x:c>
      <x:c r="F61" s="48" t="str">
        <x:v>TRUE</x:v>
      </x:c>
      <x:c r="G61" s="48" t="str">
        <x:v>Viridans Group Streptococci (S. mutans, S. sanguinis) is listed as Gram-Positive (+).</x:v>
      </x:c>
      <x:c r="H61" s="48" t="str">
        <x:v>Easy</x:v>
      </x:c>
      <x:c r="I61" s="48" t="str">
        <x:v>High</x:v>
      </x:c>
      <x:c r="J61" s="48" t="str">
        <x:v>Bacterial Morphology &amp; Physiology Cantres 2026</x:v>
      </x:c>
      <x:c r="K61" s="48" t="str"/>
      <x:c r="L61" s="48" t="str">
        <x:v>TRUE</x:v>
      </x:c>
      <x:c r="M61" s="48" t="str"/>
      <x:c r="N61" s="54" t="n">
        <x:v>46277</x:v>
      </x:c>
    </x:row>
    <x:row r="62">
      <x:c r="A62" s="48" t="str">
        <x:v>Q0061</x:v>
      </x:c>
      <x:c r="B62" s="48" t="str">
        <x:v>ORG007</x:v>
      </x:c>
      <x:c r="C62" s="48" t="str">
        <x:v>Viridans Group Streptococci (S. mutans, S. sanguinis)</x:v>
      </x:c>
      <x:c r="D62" s="48" t="str">
        <x:v>Biochemical</x:v>
      </x:c>
      <x:c r="E62" s="48" t="str">
        <x:v>Catalase positive?</x:v>
      </x:c>
      <x:c r="F62" s="48" t="str">
        <x:v>FALSE</x:v>
      </x:c>
      <x:c r="G62" s="48" t="str">
        <x:v>Catalase: Negative (-).</x:v>
      </x:c>
      <x:c r="H62" s="48" t="str">
        <x:v>Easy</x:v>
      </x:c>
      <x:c r="I62" s="48" t="str">
        <x:v>High</x:v>
      </x:c>
      <x:c r="J62" s="48" t="str">
        <x:v>Bacterial Morphology &amp; Physiology Cantres 2026</x:v>
      </x:c>
      <x:c r="K62" s="48" t="str"/>
      <x:c r="L62" s="48" t="str">
        <x:v>TRUE</x:v>
      </x:c>
      <x:c r="M62" s="48" t="str"/>
      <x:c r="N62" s="54" t="n">
        <x:v>46277</x:v>
      </x:c>
    </x:row>
    <x:row r="63">
      <x:c r="A63" s="48" t="str">
        <x:v>Q0062</x:v>
      </x:c>
      <x:c r="B63" s="48" t="str">
        <x:v>ORG007</x:v>
      </x:c>
      <x:c r="C63" s="48" t="str">
        <x:v>Viridans Group Streptococci (S. mutans, S. sanguinis)</x:v>
      </x:c>
      <x:c r="D63" s="48" t="str">
        <x:v>Biochemical</x:v>
      </x:c>
      <x:c r="E63" s="48" t="str">
        <x:v>Oxidase positive?</x:v>
      </x:c>
      <x:c r="F63" s="48" t="str">
        <x:v>FALSE</x:v>
      </x:c>
      <x:c r="G63" s="48" t="str">
        <x:v>Oxidase: Negative (-).</x:v>
      </x:c>
      <x:c r="H63" s="48" t="str">
        <x:v>Easy</x:v>
      </x:c>
      <x:c r="I63" s="48" t="str">
        <x:v>High</x:v>
      </x:c>
      <x:c r="J63" s="48" t="str">
        <x:v>Bacterial Morphology &amp; Physiology Cantres 2026</x:v>
      </x:c>
      <x:c r="K63" s="48" t="str"/>
      <x:c r="L63" s="48" t="str">
        <x:v>TRUE</x:v>
      </x:c>
      <x:c r="M63" s="48" t="str"/>
      <x:c r="N63" s="54" t="n">
        <x:v>46277</x:v>
      </x:c>
    </x:row>
    <x:row r="64">
      <x:c r="A64" s="48" t="str">
        <x:v>Q0063</x:v>
      </x:c>
      <x:c r="B64" s="48" t="str">
        <x:v>ORG007</x:v>
      </x:c>
      <x:c r="C64" s="48" t="str">
        <x:v>Viridans Group Streptococci (S. mutans, S. sanguinis)</x:v>
      </x:c>
      <x:c r="D64" s="48" t="str">
        <x:v>Morphology</x:v>
      </x:c>
      <x:c r="E64" s="48" t="str">
        <x:v>Motile?</x:v>
      </x:c>
      <x:c r="F64" s="48" t="str">
        <x:v>FALSE</x:v>
      </x:c>
      <x:c r="G64" s="48" t="str">
        <x:v>Motility: Non-motile.</x:v>
      </x:c>
      <x:c r="H64" s="48" t="str">
        <x:v>Easy</x:v>
      </x:c>
      <x:c r="I64" s="48" t="str">
        <x:v>High</x:v>
      </x:c>
      <x:c r="J64" s="48" t="str">
        <x:v>Bacterial Morphology &amp; Physiology Cantres 2026</x:v>
      </x:c>
      <x:c r="K64" s="48" t="str"/>
      <x:c r="L64" s="48" t="str">
        <x:v>TRUE</x:v>
      </x:c>
      <x:c r="M64" s="48" t="str"/>
      <x:c r="N64" s="54" t="n">
        <x:v>46277</x:v>
      </x:c>
    </x:row>
    <x:row r="65">
      <x:c r="A65" s="48" t="str">
        <x:v>Q0064</x:v>
      </x:c>
      <x:c r="B65" s="48" t="str">
        <x:v>ORG007</x:v>
      </x:c>
      <x:c r="C65" s="48" t="str">
        <x:v>Viridans Group Streptococci (S. mutans, S. sanguinis)</x:v>
      </x:c>
      <x:c r="D65" s="48" t="str">
        <x:v>Morphology</x:v>
      </x:c>
      <x:c r="E65" s="48" t="str">
        <x:v>Spore-forming?</x:v>
      </x:c>
      <x:c r="F65" s="48" t="str">
        <x:v>FALSE</x:v>
      </x:c>
      <x:c r="G65" s="48" t="str">
        <x:v>Spore formation: No.</x:v>
      </x:c>
      <x:c r="H65" s="48" t="str">
        <x:v>Easy</x:v>
      </x:c>
      <x:c r="I65" s="48" t="str">
        <x:v>High</x:v>
      </x:c>
      <x:c r="J65" s="48" t="str">
        <x:v>Bacterial Morphology &amp; Physiology Cantres 2026</x:v>
      </x:c>
      <x:c r="K65" s="48" t="str"/>
      <x:c r="L65" s="48" t="str">
        <x:v>TRUE</x:v>
      </x:c>
      <x:c r="M65" s="48" t="str"/>
      <x:c r="N65" s="54" t="n">
        <x:v>46277</x:v>
      </x:c>
    </x:row>
    <x:row r="66">
      <x:c r="A66" s="48" t="str">
        <x:v>Q0065</x:v>
      </x:c>
      <x:c r="B66" s="48" t="str">
        <x:v>ORG007</x:v>
      </x:c>
      <x:c r="C66" s="48" t="str">
        <x:v>Viridans Group Streptococci (S. mutans, S. sanguinis)</x:v>
      </x:c>
      <x:c r="D66" s="48" t="str">
        <x:v>Growth</x:v>
      </x:c>
      <x:c r="E66" s="48" t="str">
        <x:v>Facultative anaerobe?</x:v>
      </x:c>
      <x:c r="F66" s="48" t="str">
        <x:v>TRUE</x:v>
      </x:c>
      <x:c r="G66" s="48" t="str">
        <x:v>Oxygen requirement: Facultative Anaerobe (some require CO2).</x:v>
      </x:c>
      <x:c r="H66" s="48" t="str">
        <x:v>Medium</x:v>
      </x:c>
      <x:c r="I66" s="48" t="str">
        <x:v>High</x:v>
      </x:c>
      <x:c r="J66" s="48" t="str">
        <x:v>Bacterial Morphology &amp; Physiology Cantres 2026</x:v>
      </x:c>
      <x:c r="K66" s="48" t="str"/>
      <x:c r="L66" s="48" t="str">
        <x:v>TRUE</x:v>
      </x:c>
      <x:c r="M66" s="48" t="str"/>
      <x:c r="N66" s="54" t="n">
        <x:v>46277</x:v>
      </x:c>
    </x:row>
    <x:row r="67">
      <x:c r="A67" s="48" t="str">
        <x:v>Q0066</x:v>
      </x:c>
      <x:c r="B67" s="48" t="str">
        <x:v>ORG007</x:v>
      </x:c>
      <x:c r="C67" s="48" t="str">
        <x:v>Viridans Group Streptococci (S. mutans, S. sanguinis)</x:v>
      </x:c>
      <x:c r="D67" s="48" t="str">
        <x:v>Growth</x:v>
      </x:c>
      <x:c r="E67" s="48" t="str">
        <x:v>Strict aerobe?</x:v>
      </x:c>
      <x:c r="F67" s="48" t="str">
        <x:v>FALSE</x:v>
      </x:c>
      <x:c r="G67" s="48" t="str">
        <x:v>Oxygen requirement: Facultative Anaerobe (some require CO2).</x:v>
      </x:c>
      <x:c r="H67" s="48" t="str">
        <x:v>Medium</x:v>
      </x:c>
      <x:c r="I67" s="48" t="str">
        <x:v>High</x:v>
      </x:c>
      <x:c r="J67" s="48" t="str">
        <x:v>Bacterial Morphology &amp; Physiology Cantres 2026</x:v>
      </x:c>
      <x:c r="K67" s="48" t="str"/>
      <x:c r="L67" s="48" t="str">
        <x:v>TRUE</x:v>
      </x:c>
      <x:c r="M67" s="48" t="str"/>
      <x:c r="N67" s="54" t="n">
        <x:v>46277</x:v>
      </x:c>
    </x:row>
    <x:row r="68">
      <x:c r="A68" s="48" t="str">
        <x:v>Q0067</x:v>
      </x:c>
      <x:c r="B68" s="48" t="str">
        <x:v>ORG007</x:v>
      </x:c>
      <x:c r="C68" s="48" t="str">
        <x:v>Viridans Group Streptococci (S. mutans, S. sanguinis)</x:v>
      </x:c>
      <x:c r="D68" s="48" t="str">
        <x:v>Biochemical</x:v>
      </x:c>
      <x:c r="E68" s="48" t="str">
        <x:v>Optochin sensitive?</x:v>
      </x:c>
      <x:c r="F68" s="48" t="str">
        <x:v>FALSE</x:v>
      </x:c>
      <x:c r="G68" s="48" t="str">
        <x:v>Key test profile: Optochin resistant (-), Bile insoluble (-), Bile esculin negative (-).</x:v>
      </x:c>
      <x:c r="H68" s="48" t="str">
        <x:v>Medium</x:v>
      </x:c>
      <x:c r="I68" s="48" t="str">
        <x:v>High</x:v>
      </x:c>
      <x:c r="J68" s="48" t="str">
        <x:v>Bacterial Morphology &amp; Physiology Cantres 2026</x:v>
      </x:c>
      <x:c r="K68" s="48" t="str"/>
      <x:c r="L68" s="48" t="str">
        <x:v>TRUE</x:v>
      </x:c>
      <x:c r="M68" s="48" t="str"/>
      <x:c r="N68" s="54" t="n">
        <x:v>46277</x:v>
      </x:c>
    </x:row>
    <x:row r="69">
      <x:c r="A69" s="48" t="str">
        <x:v>Q0068</x:v>
      </x:c>
      <x:c r="B69" s="48" t="str">
        <x:v>ORG007</x:v>
      </x:c>
      <x:c r="C69" s="48" t="str">
        <x:v>Viridans Group Streptococci (S. mutans, S. sanguinis)</x:v>
      </x:c>
      <x:c r="D69" s="48" t="str">
        <x:v>Biochemical</x:v>
      </x:c>
      <x:c r="E69" s="48" t="str">
        <x:v>Bile esculin positive?</x:v>
      </x:c>
      <x:c r="F69" s="48" t="str">
        <x:v>FALSE</x:v>
      </x:c>
      <x:c r="G69" s="48" t="str">
        <x:v>Key test profile: Optochin resistant (-), Bile insoluble (-), Bile esculin negative (-).</x:v>
      </x:c>
      <x:c r="H69" s="48" t="str">
        <x:v>Medium</x:v>
      </x:c>
      <x:c r="I69" s="48" t="str">
        <x:v>High</x:v>
      </x:c>
      <x:c r="J69" s="48" t="str">
        <x:v>Bacterial Morphology &amp; Physiology Cantres 2026</x:v>
      </x:c>
      <x:c r="K69" s="48" t="str"/>
      <x:c r="L69" s="48" t="str">
        <x:v>TRUE</x:v>
      </x:c>
      <x:c r="M69" s="48" t="str"/>
      <x:c r="N69" s="54" t="n">
        <x:v>46277</x:v>
      </x:c>
    </x:row>
    <x:row r="70">
      <x:c r="A70" s="48" t="str">
        <x:v>Q0069</x:v>
      </x:c>
      <x:c r="B70" s="48" t="str">
        <x:v>ORG008</x:v>
      </x:c>
      <x:c r="C70" s="48" t="str">
        <x:v>Enterococcus faecalis / Enterococcus faecium</x:v>
      </x:c>
      <x:c r="D70" s="48" t="str">
        <x:v>Morphology</x:v>
      </x:c>
      <x:c r="E70" s="48" t="str">
        <x:v>Gram-positive?</x:v>
      </x:c>
      <x:c r="F70" s="48" t="str">
        <x:v>TRUE</x:v>
      </x:c>
      <x:c r="G70" s="48" t="str">
        <x:v>Enterococcus faecalis / Enterococcus faecium is listed as Gram-Positive (+).</x:v>
      </x:c>
      <x:c r="H70" s="48" t="str">
        <x:v>Easy</x:v>
      </x:c>
      <x:c r="I70" s="48" t="str">
        <x:v>High</x:v>
      </x:c>
      <x:c r="J70" s="48" t="str">
        <x:v>Bacterial Morphology &amp; Physiology Cantres 2026</x:v>
      </x:c>
      <x:c r="K70" s="48" t="str"/>
      <x:c r="L70" s="48" t="str">
        <x:v>TRUE</x:v>
      </x:c>
      <x:c r="M70" s="48" t="str"/>
      <x:c r="N70" s="54" t="n">
        <x:v>46277</x:v>
      </x:c>
    </x:row>
    <x:row r="71">
      <x:c r="A71" s="48" t="str">
        <x:v>Q0070</x:v>
      </x:c>
      <x:c r="B71" s="48" t="str">
        <x:v>ORG008</x:v>
      </x:c>
      <x:c r="C71" s="48" t="str">
        <x:v>Enterococcus faecalis / Enterococcus faecium</x:v>
      </x:c>
      <x:c r="D71" s="48" t="str">
        <x:v>Biochemical</x:v>
      </x:c>
      <x:c r="E71" s="48" t="str">
        <x:v>Catalase positive?</x:v>
      </x:c>
      <x:c r="F71" s="48" t="str">
        <x:v>FALSE</x:v>
      </x:c>
      <x:c r="G71" s="48" t="str">
        <x:v>Catalase: Negative (-).</x:v>
      </x:c>
      <x:c r="H71" s="48" t="str">
        <x:v>Easy</x:v>
      </x:c>
      <x:c r="I71" s="48" t="str">
        <x:v>High</x:v>
      </x:c>
      <x:c r="J71" s="48" t="str">
        <x:v>Bacterial Morphology &amp; Physiology Cantres 2026</x:v>
      </x:c>
      <x:c r="K71" s="48" t="str"/>
      <x:c r="L71" s="48" t="str">
        <x:v>TRUE</x:v>
      </x:c>
      <x:c r="M71" s="48" t="str"/>
      <x:c r="N71" s="54" t="n">
        <x:v>46277</x:v>
      </x:c>
    </x:row>
    <x:row r="72">
      <x:c r="A72" s="48" t="str">
        <x:v>Q0071</x:v>
      </x:c>
      <x:c r="B72" s="48" t="str">
        <x:v>ORG008</x:v>
      </x:c>
      <x:c r="C72" s="48" t="str">
        <x:v>Enterococcus faecalis / Enterococcus faecium</x:v>
      </x:c>
      <x:c r="D72" s="48" t="str">
        <x:v>Biochemical</x:v>
      </x:c>
      <x:c r="E72" s="48" t="str">
        <x:v>Oxidase positive?</x:v>
      </x:c>
      <x:c r="F72" s="48" t="str">
        <x:v>FALSE</x:v>
      </x:c>
      <x:c r="G72" s="48" t="str">
        <x:v>Oxidase: Negative (-).</x:v>
      </x:c>
      <x:c r="H72" s="48" t="str">
        <x:v>Easy</x:v>
      </x:c>
      <x:c r="I72" s="48" t="str">
        <x:v>High</x:v>
      </x:c>
      <x:c r="J72" s="48" t="str">
        <x:v>Bacterial Morphology &amp; Physiology Cantres 2026</x:v>
      </x:c>
      <x:c r="K72" s="48" t="str"/>
      <x:c r="L72" s="48" t="str">
        <x:v>TRUE</x:v>
      </x:c>
      <x:c r="M72" s="48" t="str"/>
      <x:c r="N72" s="54" t="n">
        <x:v>46277</x:v>
      </x:c>
    </x:row>
    <x:row r="73">
      <x:c r="A73" s="48" t="str">
        <x:v>Q0072</x:v>
      </x:c>
      <x:c r="B73" s="48" t="str">
        <x:v>ORG008</x:v>
      </x:c>
      <x:c r="C73" s="48" t="str">
        <x:v>Enterococcus faecalis / Enterococcus faecium</x:v>
      </x:c>
      <x:c r="D73" s="48" t="str">
        <x:v>Morphology</x:v>
      </x:c>
      <x:c r="E73" s="48" t="str">
        <x:v>Motile?</x:v>
      </x:c>
      <x:c r="F73" s="48" t="str">
        <x:v>FALSE</x:v>
      </x:c>
      <x:c r="G73" s="48" t="str">
        <x:v>Motility: Non-motile.</x:v>
      </x:c>
      <x:c r="H73" s="48" t="str">
        <x:v>Easy</x:v>
      </x:c>
      <x:c r="I73" s="48" t="str">
        <x:v>High</x:v>
      </x:c>
      <x:c r="J73" s="48" t="str">
        <x:v>Bacterial Morphology &amp; Physiology Cantres 2026</x:v>
      </x:c>
      <x:c r="K73" s="48" t="str"/>
      <x:c r="L73" s="48" t="str">
        <x:v>TRUE</x:v>
      </x:c>
      <x:c r="M73" s="48" t="str"/>
      <x:c r="N73" s="54" t="n">
        <x:v>46277</x:v>
      </x:c>
    </x:row>
    <x:row r="74">
      <x:c r="A74" s="48" t="str">
        <x:v>Q0073</x:v>
      </x:c>
      <x:c r="B74" s="48" t="str">
        <x:v>ORG008</x:v>
      </x:c>
      <x:c r="C74" s="48" t="str">
        <x:v>Enterococcus faecalis / Enterococcus faecium</x:v>
      </x:c>
      <x:c r="D74" s="48" t="str">
        <x:v>Morphology</x:v>
      </x:c>
      <x:c r="E74" s="48" t="str">
        <x:v>Spore-forming?</x:v>
      </x:c>
      <x:c r="F74" s="48" t="str">
        <x:v>FALSE</x:v>
      </x:c>
      <x:c r="G74" s="48" t="str">
        <x:v>Spore formation: No.</x:v>
      </x:c>
      <x:c r="H74" s="48" t="str">
        <x:v>Easy</x:v>
      </x:c>
      <x:c r="I74" s="48" t="str">
        <x:v>High</x:v>
      </x:c>
      <x:c r="J74" s="48" t="str">
        <x:v>Bacterial Morphology &amp; Physiology Cantres 2026</x:v>
      </x:c>
      <x:c r="K74" s="48" t="str"/>
      <x:c r="L74" s="48" t="str">
        <x:v>TRUE</x:v>
      </x:c>
      <x:c r="M74" s="48" t="str"/>
      <x:c r="N74" s="54" t="n">
        <x:v>46277</x:v>
      </x:c>
    </x:row>
    <x:row r="75">
      <x:c r="A75" s="48" t="str">
        <x:v>Q0074</x:v>
      </x:c>
      <x:c r="B75" s="48" t="str">
        <x:v>ORG008</x:v>
      </x:c>
      <x:c r="C75" s="48" t="str">
        <x:v>Enterococcus faecalis / Enterococcus faecium</x:v>
      </x:c>
      <x:c r="D75" s="48" t="str">
        <x:v>Growth</x:v>
      </x:c>
      <x:c r="E75" s="48" t="str">
        <x:v>Facultative anaerobe?</x:v>
      </x:c>
      <x:c r="F75" s="48" t="str">
        <x:v>TRUE</x:v>
      </x:c>
      <x:c r="G75" s="48" t="str">
        <x:v>Oxygen requirement: Facultative Anaerobe.</x:v>
      </x:c>
      <x:c r="H75" s="48" t="str">
        <x:v>Medium</x:v>
      </x:c>
      <x:c r="I75" s="48" t="str">
        <x:v>High</x:v>
      </x:c>
      <x:c r="J75" s="48" t="str">
        <x:v>Bacterial Morphology &amp; Physiology Cantres 2026</x:v>
      </x:c>
      <x:c r="K75" s="48" t="str"/>
      <x:c r="L75" s="48" t="str">
        <x:v>TRUE</x:v>
      </x:c>
      <x:c r="M75" s="48" t="str"/>
      <x:c r="N75" s="54" t="n">
        <x:v>46277</x:v>
      </x:c>
    </x:row>
    <x:row r="76">
      <x:c r="A76" s="48" t="str">
        <x:v>Q0075</x:v>
      </x:c>
      <x:c r="B76" s="48" t="str">
        <x:v>ORG008</x:v>
      </x:c>
      <x:c r="C76" s="48" t="str">
        <x:v>Enterococcus faecalis / Enterococcus faecium</x:v>
      </x:c>
      <x:c r="D76" s="48" t="str">
        <x:v>Growth</x:v>
      </x:c>
      <x:c r="E76" s="48" t="str">
        <x:v>Strict aerobe?</x:v>
      </x:c>
      <x:c r="F76" s="48" t="str">
        <x:v>FALSE</x:v>
      </x:c>
      <x:c r="G76" s="48" t="str">
        <x:v>Oxygen requirement: Facultative Anaerobe.</x:v>
      </x:c>
      <x:c r="H76" s="48" t="str">
        <x:v>Medium</x:v>
      </x:c>
      <x:c r="I76" s="48" t="str">
        <x:v>High</x:v>
      </x:c>
      <x:c r="J76" s="48" t="str">
        <x:v>Bacterial Morphology &amp; Physiology Cantres 2026</x:v>
      </x:c>
      <x:c r="K76" s="48" t="str"/>
      <x:c r="L76" s="48" t="str">
        <x:v>TRUE</x:v>
      </x:c>
      <x:c r="M76" s="48" t="str"/>
      <x:c r="N76" s="54" t="n">
        <x:v>46277</x:v>
      </x:c>
    </x:row>
    <x:row r="77">
      <x:c r="A77" s="48" t="str">
        <x:v>Q0076</x:v>
      </x:c>
      <x:c r="B77" s="48" t="str">
        <x:v>ORG008</x:v>
      </x:c>
      <x:c r="C77" s="48" t="str">
        <x:v>Enterococcus faecalis / Enterococcus faecium</x:v>
      </x:c>
      <x:c r="D77" s="48" t="str">
        <x:v>Biochemical</x:v>
      </x:c>
      <x:c r="E77" s="48" t="str">
        <x:v>PYR positive?</x:v>
      </x:c>
      <x:c r="F77" s="48" t="str">
        <x:v>TRUE</x:v>
      </x:c>
      <x:c r="G77" s="48" t="str">
        <x:v>Key test profile: Bile Esculin positive (+), Grows in 6.5% NaCl, Grows in 40% bile, PYR positive (+).</x:v>
      </x:c>
      <x:c r="H77" s="48" t="str">
        <x:v>Medium</x:v>
      </x:c>
      <x:c r="I77" s="48" t="str">
        <x:v>High</x:v>
      </x:c>
      <x:c r="J77" s="48" t="str">
        <x:v>Bacterial Morphology &amp; Physiology Cantres 2026</x:v>
      </x:c>
      <x:c r="K77" s="48" t="str"/>
      <x:c r="L77" s="48" t="str">
        <x:v>TRUE</x:v>
      </x:c>
      <x:c r="M77" s="48" t="str"/>
      <x:c r="N77" s="54" t="n">
        <x:v>46277</x:v>
      </x:c>
    </x:row>
    <x:row r="78">
      <x:c r="A78" s="48" t="str">
        <x:v>Q0077</x:v>
      </x:c>
      <x:c r="B78" s="48" t="str">
        <x:v>ORG008</x:v>
      </x:c>
      <x:c r="C78" s="48" t="str">
        <x:v>Enterococcus faecalis / Enterococcus faecium</x:v>
      </x:c>
      <x:c r="D78" s="48" t="str">
        <x:v>Biochemical</x:v>
      </x:c>
      <x:c r="E78" s="48" t="str">
        <x:v>Bile esculin positive?</x:v>
      </x:c>
      <x:c r="F78" s="48" t="str">
        <x:v>TRUE</x:v>
      </x:c>
      <x:c r="G78" s="48" t="str">
        <x:v>Key test profile: Bile Esculin positive (+), Grows in 6.5% NaCl, Grows in 40% bile, PYR positive (+).</x:v>
      </x:c>
      <x:c r="H78" s="48" t="str">
        <x:v>Medium</x:v>
      </x:c>
      <x:c r="I78" s="48" t="str">
        <x:v>High</x:v>
      </x:c>
      <x:c r="J78" s="48" t="str">
        <x:v>Bacterial Morphology &amp; Physiology Cantres 2026</x:v>
      </x:c>
      <x:c r="K78" s="48" t="str"/>
      <x:c r="L78" s="48" t="str">
        <x:v>TRUE</x:v>
      </x:c>
      <x:c r="M78" s="48" t="str"/>
      <x:c r="N78" s="54" t="n">
        <x:v>46277</x:v>
      </x:c>
    </x:row>
    <x:row r="79">
      <x:c r="A79" s="48" t="str">
        <x:v>Q0078</x:v>
      </x:c>
      <x:c r="B79" s="48" t="str">
        <x:v>ORG008</x:v>
      </x:c>
      <x:c r="C79" s="48" t="str">
        <x:v>Enterococcus faecalis / Enterococcus faecium</x:v>
      </x:c>
      <x:c r="D79" s="48" t="str">
        <x:v>Biochemical</x:v>
      </x:c>
      <x:c r="E79" s="48" t="str">
        <x:v>Grows in 6.5% NaCl?</x:v>
      </x:c>
      <x:c r="F79" s="48" t="str">
        <x:v>TRUE</x:v>
      </x:c>
      <x:c r="G79" s="48" t="str">
        <x:v>Key test profile: Bile Esculin positive (+), Grows in 6.5% NaCl, Grows in 40% bile, PYR positive (+).</x:v>
      </x:c>
      <x:c r="H79" s="48" t="str">
        <x:v>Medium</x:v>
      </x:c>
      <x:c r="I79" s="48" t="str">
        <x:v>High</x:v>
      </x:c>
      <x:c r="J79" s="48" t="str">
        <x:v>Bacterial Morphology &amp; Physiology Cantres 2026</x:v>
      </x:c>
      <x:c r="K79" s="48" t="str"/>
      <x:c r="L79" s="48" t="str">
        <x:v>TRUE</x:v>
      </x:c>
      <x:c r="M79" s="48" t="str"/>
      <x:c r="N79" s="54" t="n">
        <x:v>46277</x:v>
      </x:c>
    </x:row>
    <x:row r="80">
      <x:c r="A80" s="48" t="str">
        <x:v>Q0079</x:v>
      </x:c>
      <x:c r="B80" s="48" t="str">
        <x:v>ORG009</x:v>
      </x:c>
      <x:c r="C80" s="48" t="str">
        <x:v>Streptococcus bovis / Streptococcus gallolyticus</x:v>
      </x:c>
      <x:c r="D80" s="48" t="str">
        <x:v>Morphology</x:v>
      </x:c>
      <x:c r="E80" s="48" t="str">
        <x:v>Gram-positive?</x:v>
      </x:c>
      <x:c r="F80" s="48" t="str">
        <x:v>TRUE</x:v>
      </x:c>
      <x:c r="G80" s="48" t="str">
        <x:v>Streptococcus bovis / Streptococcus gallolyticus is listed as Gram-Positive (+).</x:v>
      </x:c>
      <x:c r="H80" s="48" t="str">
        <x:v>Easy</x:v>
      </x:c>
      <x:c r="I80" s="48" t="str">
        <x:v>High</x:v>
      </x:c>
      <x:c r="J80" s="48" t="str">
        <x:v>Bacterial Morphology &amp; Physiology Cantres 2026</x:v>
      </x:c>
      <x:c r="K80" s="48" t="str"/>
      <x:c r="L80" s="48" t="str">
        <x:v>TRUE</x:v>
      </x:c>
      <x:c r="M80" s="48" t="str"/>
      <x:c r="N80" s="54" t="n">
        <x:v>46277</x:v>
      </x:c>
    </x:row>
    <x:row r="81">
      <x:c r="A81" s="48" t="str">
        <x:v>Q0080</x:v>
      </x:c>
      <x:c r="B81" s="48" t="str">
        <x:v>ORG009</x:v>
      </x:c>
      <x:c r="C81" s="48" t="str">
        <x:v>Streptococcus bovis / Streptococcus gallolyticus</x:v>
      </x:c>
      <x:c r="D81" s="48" t="str">
        <x:v>Biochemical</x:v>
      </x:c>
      <x:c r="E81" s="48" t="str">
        <x:v>Catalase positive?</x:v>
      </x:c>
      <x:c r="F81" s="48" t="str">
        <x:v>FALSE</x:v>
      </x:c>
      <x:c r="G81" s="48" t="str">
        <x:v>Catalase: Negative (-).</x:v>
      </x:c>
      <x:c r="H81" s="48" t="str">
        <x:v>Easy</x:v>
      </x:c>
      <x:c r="I81" s="48" t="str">
        <x:v>High</x:v>
      </x:c>
      <x:c r="J81" s="48" t="str">
        <x:v>Bacterial Morphology &amp; Physiology Cantres 2026</x:v>
      </x:c>
      <x:c r="K81" s="48" t="str"/>
      <x:c r="L81" s="48" t="str">
        <x:v>TRUE</x:v>
      </x:c>
      <x:c r="M81" s="48" t="str"/>
      <x:c r="N81" s="54" t="n">
        <x:v>46277</x:v>
      </x:c>
    </x:row>
    <x:row r="82">
      <x:c r="A82" s="48" t="str">
        <x:v>Q0081</x:v>
      </x:c>
      <x:c r="B82" s="48" t="str">
        <x:v>ORG009</x:v>
      </x:c>
      <x:c r="C82" s="48" t="str">
        <x:v>Streptococcus bovis / Streptococcus gallolyticus</x:v>
      </x:c>
      <x:c r="D82" s="48" t="str">
        <x:v>Biochemical</x:v>
      </x:c>
      <x:c r="E82" s="48" t="str">
        <x:v>Oxidase positive?</x:v>
      </x:c>
      <x:c r="F82" s="48" t="str">
        <x:v>FALSE</x:v>
      </x:c>
      <x:c r="G82" s="48" t="str">
        <x:v>Oxidase: Negative (-).</x:v>
      </x:c>
      <x:c r="H82" s="48" t="str">
        <x:v>Easy</x:v>
      </x:c>
      <x:c r="I82" s="48" t="str">
        <x:v>High</x:v>
      </x:c>
      <x:c r="J82" s="48" t="str">
        <x:v>Bacterial Morphology &amp; Physiology Cantres 2026</x:v>
      </x:c>
      <x:c r="K82" s="48" t="str"/>
      <x:c r="L82" s="48" t="str">
        <x:v>TRUE</x:v>
      </x:c>
      <x:c r="M82" s="48" t="str"/>
      <x:c r="N82" s="54" t="n">
        <x:v>46277</x:v>
      </x:c>
    </x:row>
    <x:row r="83">
      <x:c r="A83" s="48" t="str">
        <x:v>Q0082</x:v>
      </x:c>
      <x:c r="B83" s="48" t="str">
        <x:v>ORG009</x:v>
      </x:c>
      <x:c r="C83" s="48" t="str">
        <x:v>Streptococcus bovis / Streptococcus gallolyticus</x:v>
      </x:c>
      <x:c r="D83" s="48" t="str">
        <x:v>Morphology</x:v>
      </x:c>
      <x:c r="E83" s="48" t="str">
        <x:v>Motile?</x:v>
      </x:c>
      <x:c r="F83" s="48" t="str">
        <x:v>FALSE</x:v>
      </x:c>
      <x:c r="G83" s="48" t="str">
        <x:v>Motility: Non-motile.</x:v>
      </x:c>
      <x:c r="H83" s="48" t="str">
        <x:v>Easy</x:v>
      </x:c>
      <x:c r="I83" s="48" t="str">
        <x:v>High</x:v>
      </x:c>
      <x:c r="J83" s="48" t="str">
        <x:v>Bacterial Morphology &amp; Physiology Cantres 2026</x:v>
      </x:c>
      <x:c r="K83" s="48" t="str"/>
      <x:c r="L83" s="48" t="str">
        <x:v>TRUE</x:v>
      </x:c>
      <x:c r="M83" s="48" t="str"/>
      <x:c r="N83" s="54" t="n">
        <x:v>46277</x:v>
      </x:c>
    </x:row>
    <x:row r="84">
      <x:c r="A84" s="48" t="str">
        <x:v>Q0083</x:v>
      </x:c>
      <x:c r="B84" s="48" t="str">
        <x:v>ORG009</x:v>
      </x:c>
      <x:c r="C84" s="48" t="str">
        <x:v>Streptococcus bovis / Streptococcus gallolyticus</x:v>
      </x:c>
      <x:c r="D84" s="48" t="str">
        <x:v>Morphology</x:v>
      </x:c>
      <x:c r="E84" s="48" t="str">
        <x:v>Spore-forming?</x:v>
      </x:c>
      <x:c r="F84" s="48" t="str">
        <x:v>FALSE</x:v>
      </x:c>
      <x:c r="G84" s="48" t="str">
        <x:v>Spore formation: No.</x:v>
      </x:c>
      <x:c r="H84" s="48" t="str">
        <x:v>Easy</x:v>
      </x:c>
      <x:c r="I84" s="48" t="str">
        <x:v>High</x:v>
      </x:c>
      <x:c r="J84" s="48" t="str">
        <x:v>Bacterial Morphology &amp; Physiology Cantres 2026</x:v>
      </x:c>
      <x:c r="K84" s="48" t="str"/>
      <x:c r="L84" s="48" t="str">
        <x:v>TRUE</x:v>
      </x:c>
      <x:c r="M84" s="48" t="str"/>
      <x:c r="N84" s="54" t="n">
        <x:v>46277</x:v>
      </x:c>
    </x:row>
    <x:row r="85">
      <x:c r="A85" s="48" t="str">
        <x:v>Q0084</x:v>
      </x:c>
      <x:c r="B85" s="48" t="str">
        <x:v>ORG009</x:v>
      </x:c>
      <x:c r="C85" s="48" t="str">
        <x:v>Streptococcus bovis / Streptococcus gallolyticus</x:v>
      </x:c>
      <x:c r="D85" s="48" t="str">
        <x:v>Growth</x:v>
      </x:c>
      <x:c r="E85" s="48" t="str">
        <x:v>Facultative anaerobe?</x:v>
      </x:c>
      <x:c r="F85" s="48" t="str">
        <x:v>TRUE</x:v>
      </x:c>
      <x:c r="G85" s="48" t="str">
        <x:v>Oxygen requirement: Facultative Anaerobe.</x:v>
      </x:c>
      <x:c r="H85" s="48" t="str">
        <x:v>Medium</x:v>
      </x:c>
      <x:c r="I85" s="48" t="str">
        <x:v>High</x:v>
      </x:c>
      <x:c r="J85" s="48" t="str">
        <x:v>Bacterial Morphology &amp; Physiology Cantres 2026</x:v>
      </x:c>
      <x:c r="K85" s="48" t="str"/>
      <x:c r="L85" s="48" t="str">
        <x:v>TRUE</x:v>
      </x:c>
      <x:c r="M85" s="48" t="str"/>
      <x:c r="N85" s="54" t="n">
        <x:v>46277</x:v>
      </x:c>
    </x:row>
    <x:row r="86">
      <x:c r="A86" s="48" t="str">
        <x:v>Q0085</x:v>
      </x:c>
      <x:c r="B86" s="48" t="str">
        <x:v>ORG009</x:v>
      </x:c>
      <x:c r="C86" s="48" t="str">
        <x:v>Streptococcus bovis / Streptococcus gallolyticus</x:v>
      </x:c>
      <x:c r="D86" s="48" t="str">
        <x:v>Growth</x:v>
      </x:c>
      <x:c r="E86" s="48" t="str">
        <x:v>Strict aerobe?</x:v>
      </x:c>
      <x:c r="F86" s="48" t="str">
        <x:v>FALSE</x:v>
      </x:c>
      <x:c r="G86" s="48" t="str">
        <x:v>Oxygen requirement: Facultative Anaerobe.</x:v>
      </x:c>
      <x:c r="H86" s="48" t="str">
        <x:v>Medium</x:v>
      </x:c>
      <x:c r="I86" s="48" t="str">
        <x:v>High</x:v>
      </x:c>
      <x:c r="J86" s="48" t="str">
        <x:v>Bacterial Morphology &amp; Physiology Cantres 2026</x:v>
      </x:c>
      <x:c r="K86" s="48" t="str"/>
      <x:c r="L86" s="48" t="str">
        <x:v>TRUE</x:v>
      </x:c>
      <x:c r="M86" s="48" t="str"/>
      <x:c r="N86" s="54" t="n">
        <x:v>46277</x:v>
      </x:c>
    </x:row>
    <x:row r="87">
      <x:c r="A87" s="48" t="str">
        <x:v>Q0086</x:v>
      </x:c>
      <x:c r="B87" s="48" t="str">
        <x:v>ORG009</x:v>
      </x:c>
      <x:c r="C87" s="48" t="str">
        <x:v>Streptococcus bovis / Streptococcus gallolyticus</x:v>
      </x:c>
      <x:c r="D87" s="48" t="str">
        <x:v>Biochemical</x:v>
      </x:c>
      <x:c r="E87" s="48" t="str">
        <x:v>PYR positive?</x:v>
      </x:c>
      <x:c r="F87" s="48" t="str">
        <x:v>FALSE</x:v>
      </x:c>
      <x:c r="G87" s="48" t="str">
        <x:v>Key test profile: Bile Esculin positive (+), Fails to grow in 6.5% NaCl (-), PYR negative (-).</x:v>
      </x:c>
      <x:c r="H87" s="48" t="str">
        <x:v>Medium</x:v>
      </x:c>
      <x:c r="I87" s="48" t="str">
        <x:v>High</x:v>
      </x:c>
      <x:c r="J87" s="48" t="str">
        <x:v>Bacterial Morphology &amp; Physiology Cantres 2026</x:v>
      </x:c>
      <x:c r="K87" s="48" t="str"/>
      <x:c r="L87" s="48" t="str">
        <x:v>TRUE</x:v>
      </x:c>
      <x:c r="M87" s="48" t="str"/>
      <x:c r="N87" s="54" t="n">
        <x:v>46277</x:v>
      </x:c>
    </x:row>
    <x:row r="88">
      <x:c r="A88" s="48" t="str">
        <x:v>Q0087</x:v>
      </x:c>
      <x:c r="B88" s="48" t="str">
        <x:v>ORG009</x:v>
      </x:c>
      <x:c r="C88" s="48" t="str">
        <x:v>Streptococcus bovis / Streptococcus gallolyticus</x:v>
      </x:c>
      <x:c r="D88" s="48" t="str">
        <x:v>Biochemical</x:v>
      </x:c>
      <x:c r="E88" s="48" t="str">
        <x:v>Bile esculin positive?</x:v>
      </x:c>
      <x:c r="F88" s="48" t="str">
        <x:v>TRUE</x:v>
      </x:c>
      <x:c r="G88" s="48" t="str">
        <x:v>Key test profile: Bile Esculin positive (+), Fails to grow in 6.5% NaCl (-), PYR negative (-).</x:v>
      </x:c>
      <x:c r="H88" s="48" t="str">
        <x:v>Medium</x:v>
      </x:c>
      <x:c r="I88" s="48" t="str">
        <x:v>High</x:v>
      </x:c>
      <x:c r="J88" s="48" t="str">
        <x:v>Bacterial Morphology &amp; Physiology Cantres 2026</x:v>
      </x:c>
      <x:c r="K88" s="48" t="str"/>
      <x:c r="L88" s="48" t="str">
        <x:v>TRUE</x:v>
      </x:c>
      <x:c r="M88" s="48" t="str"/>
      <x:c r="N88" s="54" t="n">
        <x:v>46277</x:v>
      </x:c>
    </x:row>
    <x:row r="89">
      <x:c r="A89" s="48" t="str">
        <x:v>Q0088</x:v>
      </x:c>
      <x:c r="B89" s="48" t="str">
        <x:v>ORG009</x:v>
      </x:c>
      <x:c r="C89" s="48" t="str">
        <x:v>Streptococcus bovis / Streptococcus gallolyticus</x:v>
      </x:c>
      <x:c r="D89" s="48" t="str">
        <x:v>Biochemical</x:v>
      </x:c>
      <x:c r="E89" s="48" t="str">
        <x:v>Grows in 6.5% NaCl?</x:v>
      </x:c>
      <x:c r="F89" s="48" t="str">
        <x:v>FALSE</x:v>
      </x:c>
      <x:c r="G89" s="48" t="str">
        <x:v>Key test profile: Bile Esculin positive (+), Fails to grow in 6.5% NaCl (-), PYR negative (-).</x:v>
      </x:c>
      <x:c r="H89" s="48" t="str">
        <x:v>Medium</x:v>
      </x:c>
      <x:c r="I89" s="48" t="str">
        <x:v>High</x:v>
      </x:c>
      <x:c r="J89" s="48" t="str">
        <x:v>Bacterial Morphology &amp; Physiology Cantres 2026</x:v>
      </x:c>
      <x:c r="K89" s="48" t="str"/>
      <x:c r="L89" s="48" t="str">
        <x:v>TRUE</x:v>
      </x:c>
      <x:c r="M89" s="48" t="str"/>
      <x:c r="N89" s="54" t="n">
        <x:v>46277</x:v>
      </x:c>
    </x:row>
    <x:row r="90">
      <x:c r="A90" s="48" t="str">
        <x:v>Q0089</x:v>
      </x:c>
      <x:c r="B90" s="48" t="str">
        <x:v>ORG010</x:v>
      </x:c>
      <x:c r="C90" s="48" t="str">
        <x:v>Neisseria meningitidis</x:v>
      </x:c>
      <x:c r="D90" s="48" t="str">
        <x:v>Morphology</x:v>
      </x:c>
      <x:c r="E90" s="48" t="str">
        <x:v>Gram-positive?</x:v>
      </x:c>
      <x:c r="F90" s="48" t="str">
        <x:v>FALSE</x:v>
      </x:c>
      <x:c r="G90" s="48" t="str">
        <x:v>Neisseria meningitidis is listed as Gram-Negative (-).</x:v>
      </x:c>
      <x:c r="H90" s="48" t="str">
        <x:v>Easy</x:v>
      </x:c>
      <x:c r="I90" s="48" t="str">
        <x:v>High</x:v>
      </x:c>
      <x:c r="J90" s="48" t="str">
        <x:v>Bacterial Morphology &amp; Physiology Cantres 2026</x:v>
      </x:c>
      <x:c r="K90" s="48" t="str"/>
      <x:c r="L90" s="48" t="str">
        <x:v>TRUE</x:v>
      </x:c>
      <x:c r="M90" s="48" t="str"/>
      <x:c r="N90" s="54" t="n">
        <x:v>46277</x:v>
      </x:c>
    </x:row>
    <x:row r="91">
      <x:c r="A91" s="48" t="str">
        <x:v>Q0090</x:v>
      </x:c>
      <x:c r="B91" s="48" t="str">
        <x:v>ORG010</x:v>
      </x:c>
      <x:c r="C91" s="48" t="str">
        <x:v>Neisseria meningitidis</x:v>
      </x:c>
      <x:c r="D91" s="48" t="str">
        <x:v>Biochemical</x:v>
      </x:c>
      <x:c r="E91" s="48" t="str">
        <x:v>Catalase positive?</x:v>
      </x:c>
      <x:c r="F91" s="48" t="str">
        <x:v>TRUE</x:v>
      </x:c>
      <x:c r="G91" s="48" t="str">
        <x:v>Catalase: Positive (+).</x:v>
      </x:c>
      <x:c r="H91" s="48" t="str">
        <x:v>Easy</x:v>
      </x:c>
      <x:c r="I91" s="48" t="str">
        <x:v>High</x:v>
      </x:c>
      <x:c r="J91" s="48" t="str">
        <x:v>Bacterial Morphology &amp; Physiology Cantres 2026</x:v>
      </x:c>
      <x:c r="K91" s="48" t="str"/>
      <x:c r="L91" s="48" t="str">
        <x:v>TRUE</x:v>
      </x:c>
      <x:c r="M91" s="48" t="str"/>
      <x:c r="N91" s="54" t="n">
        <x:v>46277</x:v>
      </x:c>
    </x:row>
    <x:row r="92">
      <x:c r="A92" s="48" t="str">
        <x:v>Q0091</x:v>
      </x:c>
      <x:c r="B92" s="48" t="str">
        <x:v>ORG010</x:v>
      </x:c>
      <x:c r="C92" s="48" t="str">
        <x:v>Neisseria meningitidis</x:v>
      </x:c>
      <x:c r="D92" s="48" t="str">
        <x:v>Biochemical</x:v>
      </x:c>
      <x:c r="E92" s="48" t="str">
        <x:v>Oxidase positive?</x:v>
      </x:c>
      <x:c r="F92" s="48" t="str">
        <x:v>TRUE</x:v>
      </x:c>
      <x:c r="G92" s="48" t="str">
        <x:v>Oxidase: Positive (+).</x:v>
      </x:c>
      <x:c r="H92" s="48" t="str">
        <x:v>Easy</x:v>
      </x:c>
      <x:c r="I92" s="48" t="str">
        <x:v>High</x:v>
      </x:c>
      <x:c r="J92" s="48" t="str">
        <x:v>Bacterial Morphology &amp; Physiology Cantres 2026</x:v>
      </x:c>
      <x:c r="K92" s="48" t="str"/>
      <x:c r="L92" s="48" t="str">
        <x:v>TRUE</x:v>
      </x:c>
      <x:c r="M92" s="48" t="str"/>
      <x:c r="N92" s="54" t="n">
        <x:v>46277</x:v>
      </x:c>
    </x:row>
    <x:row r="93">
      <x:c r="A93" s="48" t="str">
        <x:v>Q0092</x:v>
      </x:c>
      <x:c r="B93" s="48" t="str">
        <x:v>ORG010</x:v>
      </x:c>
      <x:c r="C93" s="48" t="str">
        <x:v>Neisseria meningitidis</x:v>
      </x:c>
      <x:c r="D93" s="48" t="str">
        <x:v>Morphology</x:v>
      </x:c>
      <x:c r="E93" s="48" t="str">
        <x:v>Motile?</x:v>
      </x:c>
      <x:c r="F93" s="48" t="str">
        <x:v>FALSE</x:v>
      </x:c>
      <x:c r="G93" s="48" t="str">
        <x:v>Motility: Non-motile.</x:v>
      </x:c>
      <x:c r="H93" s="48" t="str">
        <x:v>Easy</x:v>
      </x:c>
      <x:c r="I93" s="48" t="str">
        <x:v>High</x:v>
      </x:c>
      <x:c r="J93" s="48" t="str">
        <x:v>Bacterial Morphology &amp; Physiology Cantres 2026</x:v>
      </x:c>
      <x:c r="K93" s="48" t="str"/>
      <x:c r="L93" s="48" t="str">
        <x:v>TRUE</x:v>
      </x:c>
      <x:c r="M93" s="48" t="str"/>
      <x:c r="N93" s="54" t="n">
        <x:v>46277</x:v>
      </x:c>
    </x:row>
    <x:row r="94">
      <x:c r="A94" s="48" t="str">
        <x:v>Q0093</x:v>
      </x:c>
      <x:c r="B94" s="48" t="str">
        <x:v>ORG010</x:v>
      </x:c>
      <x:c r="C94" s="48" t="str">
        <x:v>Neisseria meningitidis</x:v>
      </x:c>
      <x:c r="D94" s="48" t="str">
        <x:v>Morphology</x:v>
      </x:c>
      <x:c r="E94" s="48" t="str">
        <x:v>Spore-forming?</x:v>
      </x:c>
      <x:c r="F94" s="48" t="str">
        <x:v>FALSE</x:v>
      </x:c>
      <x:c r="G94" s="48" t="str">
        <x:v>Spore formation: No.</x:v>
      </x:c>
      <x:c r="H94" s="48" t="str">
        <x:v>Easy</x:v>
      </x:c>
      <x:c r="I94" s="48" t="str">
        <x:v>High</x:v>
      </x:c>
      <x:c r="J94" s="48" t="str">
        <x:v>Bacterial Morphology &amp; Physiology Cantres 2026</x:v>
      </x:c>
      <x:c r="K94" s="48" t="str"/>
      <x:c r="L94" s="48" t="str">
        <x:v>TRUE</x:v>
      </x:c>
      <x:c r="M94" s="48" t="str"/>
      <x:c r="N94" s="54" t="n">
        <x:v>46277</x:v>
      </x:c>
    </x:row>
    <x:row r="95">
      <x:c r="A95" s="48" t="str">
        <x:v>Q0094</x:v>
      </x:c>
      <x:c r="B95" s="48" t="str">
        <x:v>ORG010</x:v>
      </x:c>
      <x:c r="C95" s="48" t="str">
        <x:v>Neisseria meningitidis</x:v>
      </x:c>
      <x:c r="D95" s="48" t="str">
        <x:v>Growth</x:v>
      </x:c>
      <x:c r="E95" s="48" t="str">
        <x:v>Facultative anaerobe?</x:v>
      </x:c>
      <x:c r="F95" s="48" t="str">
        <x:v>FALSE</x:v>
      </x:c>
      <x:c r="G95" s="48" t="str">
        <x:v>Oxygen requirement: Strict Aerobe / Microaerophilic.</x:v>
      </x:c>
      <x:c r="H95" s="48" t="str">
        <x:v>Medium</x:v>
      </x:c>
      <x:c r="I95" s="48" t="str">
        <x:v>High</x:v>
      </x:c>
      <x:c r="J95" s="48" t="str">
        <x:v>Bacterial Morphology &amp; Physiology Cantres 2026</x:v>
      </x:c>
      <x:c r="K95" s="48" t="str"/>
      <x:c r="L95" s="48" t="str">
        <x:v>TRUE</x:v>
      </x:c>
      <x:c r="M95" s="48" t="str"/>
      <x:c r="N95" s="54" t="n">
        <x:v>46277</x:v>
      </x:c>
    </x:row>
    <x:row r="96">
      <x:c r="A96" s="48" t="str">
        <x:v>Q0095</x:v>
      </x:c>
      <x:c r="B96" s="48" t="str">
        <x:v>ORG010</x:v>
      </x:c>
      <x:c r="C96" s="48" t="str">
        <x:v>Neisseria meningitidis</x:v>
      </x:c>
      <x:c r="D96" s="48" t="str">
        <x:v>Growth</x:v>
      </x:c>
      <x:c r="E96" s="48" t="str">
        <x:v>Microaerophilic?</x:v>
      </x:c>
      <x:c r="F96" s="48" t="str">
        <x:v>TRUE</x:v>
      </x:c>
      <x:c r="G96" s="48" t="str">
        <x:v>Oxygen requirement: Strict Aerobe / Microaerophilic.</x:v>
      </x:c>
      <x:c r="H96" s="48" t="str">
        <x:v>Medium</x:v>
      </x:c>
      <x:c r="I96" s="48" t="str">
        <x:v>High</x:v>
      </x:c>
      <x:c r="J96" s="48" t="str">
        <x:v>Bacterial Morphology &amp; Physiology Cantres 2026</x:v>
      </x:c>
      <x:c r="K96" s="48" t="str"/>
      <x:c r="L96" s="48" t="str">
        <x:v>TRUE</x:v>
      </x:c>
      <x:c r="M96" s="48" t="str"/>
      <x:c r="N96" s="54" t="n">
        <x:v>46277</x:v>
      </x:c>
    </x:row>
    <x:row r="97">
      <x:c r="A97" s="48" t="str">
        <x:v>Q0096</x:v>
      </x:c>
      <x:c r="B97" s="48" t="str">
        <x:v>ORG010</x:v>
      </x:c>
      <x:c r="C97" s="48" t="str">
        <x:v>Neisseria meningitidis</x:v>
      </x:c>
      <x:c r="D97" s="48" t="str">
        <x:v>Growth</x:v>
      </x:c>
      <x:c r="E97" s="48" t="str">
        <x:v>Beta-hemolytic?</x:v>
      </x:c>
      <x:c r="F97" s="48" t="str">
        <x:v>FALSE</x:v>
      </x:c>
      <x:c r="G97" s="48" t="str">
        <x:v>Hemolysis: Non-hemolytic.</x:v>
      </x:c>
      <x:c r="H97" s="48" t="str">
        <x:v>Medium</x:v>
      </x:c>
      <x:c r="I97" s="48" t="str">
        <x:v>High</x:v>
      </x:c>
      <x:c r="J97" s="48" t="str">
        <x:v>Bacterial Morphology &amp; Physiology Cantres 2026</x:v>
      </x:c>
      <x:c r="K97" s="48" t="str"/>
      <x:c r="L97" s="48" t="str">
        <x:v>TRUE</x:v>
      </x:c>
      <x:c r="M97" s="48" t="str"/>
      <x:c r="N97" s="54" t="n">
        <x:v>46277</x:v>
      </x:c>
    </x:row>
    <x:row r="98">
      <x:c r="A98" s="48" t="str">
        <x:v>Q0097</x:v>
      </x:c>
      <x:c r="B98" s="48" t="str">
        <x:v>ORG010</x:v>
      </x:c>
      <x:c r="C98" s="48" t="str">
        <x:v>Neisseria meningitidis</x:v>
      </x:c>
      <x:c r="D98" s="48" t="str">
        <x:v>Biochemical</x:v>
      </x:c>
      <x:c r="E98" s="48" t="str">
        <x:v>Maltose fermenter?</x:v>
      </x:c>
      <x:c r="F98" s="48" t="str">
        <x:v>TRUE</x:v>
      </x:c>
      <x:c r="G98" s="48" t="str">
        <x:v>Key test profile: Ferments Maltose (+) and Glucose (+) (CTA sugars positive), Oxidase (+).</x:v>
      </x:c>
      <x:c r="H98" s="48" t="str">
        <x:v>Medium</x:v>
      </x:c>
      <x:c r="I98" s="48" t="str">
        <x:v>High</x:v>
      </x:c>
      <x:c r="J98" s="48" t="str">
        <x:v>Bacterial Morphology &amp; Physiology Cantres 2026</x:v>
      </x:c>
      <x:c r="K98" s="48" t="str"/>
      <x:c r="L98" s="48" t="str">
        <x:v>TRUE</x:v>
      </x:c>
      <x:c r="M98" s="48" t="str"/>
      <x:c r="N98" s="54" t="n">
        <x:v>46277</x:v>
      </x:c>
    </x:row>
    <x:row r="99">
      <x:c r="A99" s="48" t="str">
        <x:v>Q0098</x:v>
      </x:c>
      <x:c r="B99" s="48" t="str">
        <x:v>ORG011</x:v>
      </x:c>
      <x:c r="C99" s="48" t="str">
        <x:v>Neisseria gonorrhoeae</x:v>
      </x:c>
      <x:c r="D99" s="48" t="str">
        <x:v>Morphology</x:v>
      </x:c>
      <x:c r="E99" s="48" t="str">
        <x:v>Gram-positive?</x:v>
      </x:c>
      <x:c r="F99" s="48" t="str">
        <x:v>FALSE</x:v>
      </x:c>
      <x:c r="G99" s="48" t="str">
        <x:v>Neisseria gonorrhoeae is listed as Gram-Negative (-).</x:v>
      </x:c>
      <x:c r="H99" s="48" t="str">
        <x:v>Easy</x:v>
      </x:c>
      <x:c r="I99" s="48" t="str">
        <x:v>High</x:v>
      </x:c>
      <x:c r="J99" s="48" t="str">
        <x:v>Bacterial Morphology &amp; Physiology Cantres 2026</x:v>
      </x:c>
      <x:c r="K99" s="48" t="str"/>
      <x:c r="L99" s="48" t="str">
        <x:v>TRUE</x:v>
      </x:c>
      <x:c r="M99" s="48" t="str"/>
      <x:c r="N99" s="54" t="n">
        <x:v>46277</x:v>
      </x:c>
    </x:row>
    <x:row r="100">
      <x:c r="A100" s="48" t="str">
        <x:v>Q0099</x:v>
      </x:c>
      <x:c r="B100" s="48" t="str">
        <x:v>ORG011</x:v>
      </x:c>
      <x:c r="C100" s="48" t="str">
        <x:v>Neisseria gonorrhoeae</x:v>
      </x:c>
      <x:c r="D100" s="48" t="str">
        <x:v>Biochemical</x:v>
      </x:c>
      <x:c r="E100" s="48" t="str">
        <x:v>Catalase positive?</x:v>
      </x:c>
      <x:c r="F100" s="48" t="str">
        <x:v>TRUE</x:v>
      </x:c>
      <x:c r="G100" s="48" t="str">
        <x:v>Catalase: Positive (+).</x:v>
      </x:c>
      <x:c r="H100" s="48" t="str">
        <x:v>Easy</x:v>
      </x:c>
      <x:c r="I100" s="48" t="str">
        <x:v>High</x:v>
      </x:c>
      <x:c r="J100" s="48" t="str">
        <x:v>Bacterial Morphology &amp; Physiology Cantres 2026</x:v>
      </x:c>
      <x:c r="K100" s="48" t="str"/>
      <x:c r="L100" s="48" t="str">
        <x:v>TRUE</x:v>
      </x:c>
      <x:c r="M100" s="48" t="str"/>
      <x:c r="N100" s="54" t="n">
        <x:v>46277</x:v>
      </x:c>
    </x:row>
    <x:row r="101">
      <x:c r="A101" s="48" t="str">
        <x:v>Q0100</x:v>
      </x:c>
      <x:c r="B101" s="48" t="str">
        <x:v>ORG011</x:v>
      </x:c>
      <x:c r="C101" s="48" t="str">
        <x:v>Neisseria gonorrhoeae</x:v>
      </x:c>
      <x:c r="D101" s="48" t="str">
        <x:v>Biochemical</x:v>
      </x:c>
      <x:c r="E101" s="48" t="str">
        <x:v>Oxidase positive?</x:v>
      </x:c>
      <x:c r="F101" s="48" t="str">
        <x:v>TRUE</x:v>
      </x:c>
      <x:c r="G101" s="48" t="str">
        <x:v>Oxidase: Positive (+).</x:v>
      </x:c>
      <x:c r="H101" s="48" t="str">
        <x:v>Easy</x:v>
      </x:c>
      <x:c r="I101" s="48" t="str">
        <x:v>High</x:v>
      </x:c>
      <x:c r="J101" s="48" t="str">
        <x:v>Bacterial Morphology &amp; Physiology Cantres 2026</x:v>
      </x:c>
      <x:c r="K101" s="48" t="str"/>
      <x:c r="L101" s="48" t="str">
        <x:v>TRUE</x:v>
      </x:c>
      <x:c r="M101" s="48" t="str"/>
      <x:c r="N101" s="54" t="n">
        <x:v>46277</x:v>
      </x:c>
    </x:row>
    <x:row r="102">
      <x:c r="A102" s="48" t="str">
        <x:v>Q0101</x:v>
      </x:c>
      <x:c r="B102" s="48" t="str">
        <x:v>ORG011</x:v>
      </x:c>
      <x:c r="C102" s="48" t="str">
        <x:v>Neisseria gonorrhoeae</x:v>
      </x:c>
      <x:c r="D102" s="48" t="str">
        <x:v>Morphology</x:v>
      </x:c>
      <x:c r="E102" s="48" t="str">
        <x:v>Motile?</x:v>
      </x:c>
      <x:c r="F102" s="48" t="str">
        <x:v>FALSE</x:v>
      </x:c>
      <x:c r="G102" s="48" t="str">
        <x:v>Motility: Non-motile.</x:v>
      </x:c>
      <x:c r="H102" s="48" t="str">
        <x:v>Easy</x:v>
      </x:c>
      <x:c r="I102" s="48" t="str">
        <x:v>High</x:v>
      </x:c>
      <x:c r="J102" s="48" t="str">
        <x:v>Bacterial Morphology &amp; Physiology Cantres 2026</x:v>
      </x:c>
      <x:c r="K102" s="48" t="str"/>
      <x:c r="L102" s="48" t="str">
        <x:v>TRUE</x:v>
      </x:c>
      <x:c r="M102" s="48" t="str"/>
      <x:c r="N102" s="54" t="n">
        <x:v>46277</x:v>
      </x:c>
    </x:row>
    <x:row r="103">
      <x:c r="A103" s="48" t="str">
        <x:v>Q0102</x:v>
      </x:c>
      <x:c r="B103" s="48" t="str">
        <x:v>ORG011</x:v>
      </x:c>
      <x:c r="C103" s="48" t="str">
        <x:v>Neisseria gonorrhoeae</x:v>
      </x:c>
      <x:c r="D103" s="48" t="str">
        <x:v>Morphology</x:v>
      </x:c>
      <x:c r="E103" s="48" t="str">
        <x:v>Spore-forming?</x:v>
      </x:c>
      <x:c r="F103" s="48" t="str">
        <x:v>FALSE</x:v>
      </x:c>
      <x:c r="G103" s="48" t="str">
        <x:v>Spore formation: No.</x:v>
      </x:c>
      <x:c r="H103" s="48" t="str">
        <x:v>Easy</x:v>
      </x:c>
      <x:c r="I103" s="48" t="str">
        <x:v>High</x:v>
      </x:c>
      <x:c r="J103" s="48" t="str">
        <x:v>Bacterial Morphology &amp; Physiology Cantres 2026</x:v>
      </x:c>
      <x:c r="K103" s="48" t="str"/>
      <x:c r="L103" s="48" t="str">
        <x:v>TRUE</x:v>
      </x:c>
      <x:c r="M103" s="48" t="str"/>
      <x:c r="N103" s="54" t="n">
        <x:v>46277</x:v>
      </x:c>
    </x:row>
    <x:row r="104">
      <x:c r="A104" s="48" t="str">
        <x:v>Q0103</x:v>
      </x:c>
      <x:c r="B104" s="48" t="str">
        <x:v>ORG011</x:v>
      </x:c>
      <x:c r="C104" s="48" t="str">
        <x:v>Neisseria gonorrhoeae</x:v>
      </x:c>
      <x:c r="D104" s="48" t="str">
        <x:v>Growth</x:v>
      </x:c>
      <x:c r="E104" s="48" t="str">
        <x:v>Facultative anaerobe?</x:v>
      </x:c>
      <x:c r="F104" s="48" t="str">
        <x:v>FALSE</x:v>
      </x:c>
      <x:c r="G104" s="48" t="str">
        <x:v>Oxygen requirement: Strict Aerobe / Fastidious (requires Thayer-Martin / Chocolate agar).</x:v>
      </x:c>
      <x:c r="H104" s="48" t="str">
        <x:v>Medium</x:v>
      </x:c>
      <x:c r="I104" s="48" t="str">
        <x:v>High</x:v>
      </x:c>
      <x:c r="J104" s="48" t="str">
        <x:v>Bacterial Morphology &amp; Physiology Cantres 2026</x:v>
      </x:c>
      <x:c r="K104" s="48" t="str"/>
      <x:c r="L104" s="48" t="str">
        <x:v>TRUE</x:v>
      </x:c>
      <x:c r="M104" s="48" t="str"/>
      <x:c r="N104" s="54" t="n">
        <x:v>46277</x:v>
      </x:c>
    </x:row>
    <x:row r="105">
      <x:c r="A105" s="48" t="str">
        <x:v>Q0104</x:v>
      </x:c>
      <x:c r="B105" s="48" t="str">
        <x:v>ORG011</x:v>
      </x:c>
      <x:c r="C105" s="48" t="str">
        <x:v>Neisseria gonorrhoeae</x:v>
      </x:c>
      <x:c r="D105" s="48" t="str">
        <x:v>Growth</x:v>
      </x:c>
      <x:c r="E105" s="48" t="str">
        <x:v>Beta-hemolytic?</x:v>
      </x:c>
      <x:c r="F105" s="48" t="str">
        <x:v>FALSE</x:v>
      </x:c>
      <x:c r="G105" s="48" t="str">
        <x:v>Hemolysis: Non-hemolytic.</x:v>
      </x:c>
      <x:c r="H105" s="48" t="str">
        <x:v>Medium</x:v>
      </x:c>
      <x:c r="I105" s="48" t="str">
        <x:v>High</x:v>
      </x:c>
      <x:c r="J105" s="48" t="str">
        <x:v>Bacterial Morphology &amp; Physiology Cantres 2026</x:v>
      </x:c>
      <x:c r="K105" s="48" t="str"/>
      <x:c r="L105" s="48" t="str">
        <x:v>TRUE</x:v>
      </x:c>
      <x:c r="M105" s="48" t="str"/>
      <x:c r="N105" s="54" t="n">
        <x:v>46277</x:v>
      </x:c>
    </x:row>
    <x:row r="106">
      <x:c r="A106" s="48" t="str">
        <x:v>Q0105</x:v>
      </x:c>
      <x:c r="B106" s="48" t="str">
        <x:v>ORG011</x:v>
      </x:c>
      <x:c r="C106" s="48" t="str">
        <x:v>Neisseria gonorrhoeae</x:v>
      </x:c>
      <x:c r="D106" s="48" t="str">
        <x:v>Biochemical</x:v>
      </x:c>
      <x:c r="E106" s="48" t="str">
        <x:v>Maltose fermenter?</x:v>
      </x:c>
      <x:c r="F106" s="48" t="str">
        <x:v>FALSE</x:v>
      </x:c>
      <x:c r="G106" s="48" t="str">
        <x:v>Key test profile: Ferments Glucose (+), Maltose negative (-), CTA test glucose (+)/maltose (-).</x:v>
      </x:c>
      <x:c r="H106" s="48" t="str">
        <x:v>Medium</x:v>
      </x:c>
      <x:c r="I106" s="48" t="str">
        <x:v>High</x:v>
      </x:c>
      <x:c r="J106" s="48" t="str">
        <x:v>Bacterial Morphology &amp; Physiology Cantres 2026</x:v>
      </x:c>
      <x:c r="K106" s="48" t="str"/>
      <x:c r="L106" s="48" t="str">
        <x:v>TRUE</x:v>
      </x:c>
      <x:c r="M106" s="48" t="str"/>
      <x:c r="N106" s="54" t="n">
        <x:v>46277</x:v>
      </x:c>
    </x:row>
    <x:row r="107">
      <x:c r="A107" s="48" t="str">
        <x:v>Q0106</x:v>
      </x:c>
      <x:c r="B107" s="48" t="str">
        <x:v>ORG012</x:v>
      </x:c>
      <x:c r="C107" s="48" t="str">
        <x:v>Escherichia coli</x:v>
      </x:c>
      <x:c r="D107" s="48" t="str">
        <x:v>Morphology</x:v>
      </x:c>
      <x:c r="E107" s="48" t="str">
        <x:v>Gram-positive?</x:v>
      </x:c>
      <x:c r="F107" s="48" t="str">
        <x:v>FALSE</x:v>
      </x:c>
      <x:c r="G107" s="48" t="str">
        <x:v>Escherichia coli is listed as Gram-Negative (-).</x:v>
      </x:c>
      <x:c r="H107" s="48" t="str">
        <x:v>Easy</x:v>
      </x:c>
      <x:c r="I107" s="48" t="str">
        <x:v>High</x:v>
      </x:c>
      <x:c r="J107" s="48" t="str">
        <x:v>Bacterial Morphology &amp; Physiology Cantres 2026</x:v>
      </x:c>
      <x:c r="K107" s="48" t="str"/>
      <x:c r="L107" s="48" t="str">
        <x:v>TRUE</x:v>
      </x:c>
      <x:c r="M107" s="48" t="str"/>
      <x:c r="N107" s="54" t="n">
        <x:v>46277</x:v>
      </x:c>
    </x:row>
    <x:row r="108">
      <x:c r="A108" s="48" t="str">
        <x:v>Q0107</x:v>
      </x:c>
      <x:c r="B108" s="48" t="str">
        <x:v>ORG012</x:v>
      </x:c>
      <x:c r="C108" s="48" t="str">
        <x:v>Escherichia coli</x:v>
      </x:c>
      <x:c r="D108" s="48" t="str">
        <x:v>Biochemical</x:v>
      </x:c>
      <x:c r="E108" s="48" t="str">
        <x:v>Catalase positive?</x:v>
      </x:c>
      <x:c r="F108" s="48" t="str">
        <x:v>TRUE</x:v>
      </x:c>
      <x:c r="G108" s="48" t="str">
        <x:v>Catalase: Positive (+).</x:v>
      </x:c>
      <x:c r="H108" s="48" t="str">
        <x:v>Easy</x:v>
      </x:c>
      <x:c r="I108" s="48" t="str">
        <x:v>High</x:v>
      </x:c>
      <x:c r="J108" s="48" t="str">
        <x:v>Bacterial Morphology &amp; Physiology Cantres 2026</x:v>
      </x:c>
      <x:c r="K108" s="48" t="str"/>
      <x:c r="L108" s="48" t="str">
        <x:v>TRUE</x:v>
      </x:c>
      <x:c r="M108" s="48" t="str"/>
      <x:c r="N108" s="54" t="n">
        <x:v>46277</x:v>
      </x:c>
    </x:row>
    <x:row r="109">
      <x:c r="A109" s="48" t="str">
        <x:v>Q0108</x:v>
      </x:c>
      <x:c r="B109" s="48" t="str">
        <x:v>ORG012</x:v>
      </x:c>
      <x:c r="C109" s="48" t="str">
        <x:v>Escherichia coli</x:v>
      </x:c>
      <x:c r="D109" s="48" t="str">
        <x:v>Biochemical</x:v>
      </x:c>
      <x:c r="E109" s="48" t="str">
        <x:v>Oxidase positive?</x:v>
      </x:c>
      <x:c r="F109" s="48" t="str">
        <x:v>FALSE</x:v>
      </x:c>
      <x:c r="G109" s="48" t="str">
        <x:v>Oxidase: Negative (-).</x:v>
      </x:c>
      <x:c r="H109" s="48" t="str">
        <x:v>Easy</x:v>
      </x:c>
      <x:c r="I109" s="48" t="str">
        <x:v>High</x:v>
      </x:c>
      <x:c r="J109" s="48" t="str">
        <x:v>Bacterial Morphology &amp; Physiology Cantres 2026</x:v>
      </x:c>
      <x:c r="K109" s="48" t="str"/>
      <x:c r="L109" s="48" t="str">
        <x:v>TRUE</x:v>
      </x:c>
      <x:c r="M109" s="48" t="str"/>
      <x:c r="N109" s="54" t="n">
        <x:v>46277</x:v>
      </x:c>
    </x:row>
    <x:row r="110">
      <x:c r="A110" s="48" t="str">
        <x:v>Q0109</x:v>
      </x:c>
      <x:c r="B110" s="48" t="str">
        <x:v>ORG012</x:v>
      </x:c>
      <x:c r="C110" s="48" t="str">
        <x:v>Escherichia coli</x:v>
      </x:c>
      <x:c r="D110" s="48" t="str">
        <x:v>Morphology</x:v>
      </x:c>
      <x:c r="E110" s="48" t="str">
        <x:v>Motile?</x:v>
      </x:c>
      <x:c r="F110" s="48" t="str">
        <x:v>TRUE</x:v>
      </x:c>
      <x:c r="G110" s="48" t="str">
        <x:v>Motility: Motile (peritrichous flagella).</x:v>
      </x:c>
      <x:c r="H110" s="48" t="str">
        <x:v>Easy</x:v>
      </x:c>
      <x:c r="I110" s="48" t="str">
        <x:v>High</x:v>
      </x:c>
      <x:c r="J110" s="48" t="str">
        <x:v>Bacterial Morphology &amp; Physiology Cantres 2026</x:v>
      </x:c>
      <x:c r="K110" s="48" t="str"/>
      <x:c r="L110" s="48" t="str">
        <x:v>TRUE</x:v>
      </x:c>
      <x:c r="M110" s="48" t="str"/>
      <x:c r="N110" s="54" t="n">
        <x:v>46277</x:v>
      </x:c>
    </x:row>
    <x:row r="111">
      <x:c r="A111" s="48" t="str">
        <x:v>Q0110</x:v>
      </x:c>
      <x:c r="B111" s="48" t="str">
        <x:v>ORG012</x:v>
      </x:c>
      <x:c r="C111" s="48" t="str">
        <x:v>Escherichia coli</x:v>
      </x:c>
      <x:c r="D111" s="48" t="str">
        <x:v>Morphology</x:v>
      </x:c>
      <x:c r="E111" s="48" t="str">
        <x:v>Spore-forming?</x:v>
      </x:c>
      <x:c r="F111" s="48" t="str">
        <x:v>FALSE</x:v>
      </x:c>
      <x:c r="G111" s="48" t="str">
        <x:v>Spore formation: No.</x:v>
      </x:c>
      <x:c r="H111" s="48" t="str">
        <x:v>Easy</x:v>
      </x:c>
      <x:c r="I111" s="48" t="str">
        <x:v>High</x:v>
      </x:c>
      <x:c r="J111" s="48" t="str">
        <x:v>Bacterial Morphology &amp; Physiology Cantres 2026</x:v>
      </x:c>
      <x:c r="K111" s="48" t="str"/>
      <x:c r="L111" s="48" t="str">
        <x:v>TRUE</x:v>
      </x:c>
      <x:c r="M111" s="48" t="str"/>
      <x:c r="N111" s="54" t="n">
        <x:v>46277</x:v>
      </x:c>
    </x:row>
    <x:row r="112">
      <x:c r="A112" s="48" t="str">
        <x:v>Q0111</x:v>
      </x:c>
      <x:c r="B112" s="48" t="str">
        <x:v>ORG012</x:v>
      </x:c>
      <x:c r="C112" s="48" t="str">
        <x:v>Escherichia coli</x:v>
      </x:c>
      <x:c r="D112" s="48" t="str">
        <x:v>Growth</x:v>
      </x:c>
      <x:c r="E112" s="48" t="str">
        <x:v>Facultative anaerobe?</x:v>
      </x:c>
      <x:c r="F112" s="48" t="str">
        <x:v>TRUE</x:v>
      </x:c>
      <x:c r="G112" s="48" t="str">
        <x:v>Oxygen requirement: Facultative Anaerobe.</x:v>
      </x:c>
      <x:c r="H112" s="48" t="str">
        <x:v>Medium</x:v>
      </x:c>
      <x:c r="I112" s="48" t="str">
        <x:v>High</x:v>
      </x:c>
      <x:c r="J112" s="48" t="str">
        <x:v>Bacterial Morphology &amp; Physiology Cantres 2026</x:v>
      </x:c>
      <x:c r="K112" s="48" t="str"/>
      <x:c r="L112" s="48" t="str">
        <x:v>TRUE</x:v>
      </x:c>
      <x:c r="M112" s="48" t="str"/>
      <x:c r="N112" s="54" t="n">
        <x:v>46277</x:v>
      </x:c>
    </x:row>
    <x:row r="113">
      <x:c r="A113" s="48" t="str">
        <x:v>Q0112</x:v>
      </x:c>
      <x:c r="B113" s="48" t="str">
        <x:v>ORG012</x:v>
      </x:c>
      <x:c r="C113" s="48" t="str">
        <x:v>Escherichia coli</x:v>
      </x:c>
      <x:c r="D113" s="48" t="str">
        <x:v>Growth</x:v>
      </x:c>
      <x:c r="E113" s="48" t="str">
        <x:v>Strict aerobe?</x:v>
      </x:c>
      <x:c r="F113" s="48" t="str">
        <x:v>FALSE</x:v>
      </x:c>
      <x:c r="G113" s="48" t="str">
        <x:v>Oxygen requirement: Facultative Anaerobe.</x:v>
      </x:c>
      <x:c r="H113" s="48" t="str">
        <x:v>Medium</x:v>
      </x:c>
      <x:c r="I113" s="48" t="str">
        <x:v>High</x:v>
      </x:c>
      <x:c r="J113" s="48" t="str">
        <x:v>Bacterial Morphology &amp; Physiology Cantres 2026</x:v>
      </x:c>
      <x:c r="K113" s="48" t="str"/>
      <x:c r="L113" s="48" t="str">
        <x:v>TRUE</x:v>
      </x:c>
      <x:c r="M113" s="48" t="str"/>
      <x:c r="N113" s="54" t="n">
        <x:v>46277</x:v>
      </x:c>
    </x:row>
    <x:row r="114">
      <x:c r="A114" s="48" t="str">
        <x:v>Q0113</x:v>
      </x:c>
      <x:c r="B114" s="48" t="str">
        <x:v>ORG012</x:v>
      </x:c>
      <x:c r="C114" s="48" t="str">
        <x:v>Escherichia coli</x:v>
      </x:c>
      <x:c r="D114" s="48" t="str">
        <x:v>Growth</x:v>
      </x:c>
      <x:c r="E114" s="48" t="str">
        <x:v>Beta-hemolytic?</x:v>
      </x:c>
      <x:c r="F114" s="48" t="str">
        <x:v>TRUE</x:v>
      </x:c>
      <x:c r="G114" s="48" t="str">
        <x:v>Hemolysis: Beta (β) on blood agar (some strains).</x:v>
      </x:c>
      <x:c r="H114" s="48" t="str">
        <x:v>Medium</x:v>
      </x:c>
      <x:c r="I114" s="48" t="str">
        <x:v>High</x:v>
      </x:c>
      <x:c r="J114" s="48" t="str">
        <x:v>Bacterial Morphology &amp; Physiology Cantres 2026</x:v>
      </x:c>
      <x:c r="K114" s="48" t="str"/>
      <x:c r="L114" s="48" t="str">
        <x:v>TRUE</x:v>
      </x:c>
      <x:c r="M114" s="48" t="str"/>
      <x:c r="N114" s="54" t="n">
        <x:v>46277</x:v>
      </x:c>
    </x:row>
    <x:row r="115">
      <x:c r="A115" s="48" t="str">
        <x:v>Q0114</x:v>
      </x:c>
      <x:c r="B115" s="48" t="str">
        <x:v>ORG012</x:v>
      </x:c>
      <x:c r="C115" s="48" t="str">
        <x:v>Escherichia coli</x:v>
      </x:c>
      <x:c r="D115" s="48" t="str">
        <x:v>Biochemical</x:v>
      </x:c>
      <x:c r="E115" s="48" t="str">
        <x:v>Lactose fermenter?</x:v>
      </x:c>
      <x:c r="F115" s="48" t="str">
        <x:v>TRUE</x:v>
      </x:c>
      <x:c r="G115" s="48" t="str">
        <x:v>Key test profile: Fast lactose fermenter (pink on MacConkey), Metallic green sheen on EMB agar, Indole (+), MR (+), VP (-), Citrate (-) [IMViC: ++--].</x:v>
      </x:c>
      <x:c r="H115" s="48" t="str">
        <x:v>Medium</x:v>
      </x:c>
      <x:c r="I115" s="48" t="str">
        <x:v>High</x:v>
      </x:c>
      <x:c r="J115" s="48" t="str">
        <x:v>Bacterial Morphology &amp; Physiology Cantres 2026</x:v>
      </x:c>
      <x:c r="K115" s="48" t="str"/>
      <x:c r="L115" s="48" t="str">
        <x:v>TRUE</x:v>
      </x:c>
      <x:c r="M115" s="48" t="str"/>
      <x:c r="N115" s="54" t="n">
        <x:v>46277</x:v>
      </x:c>
    </x:row>
    <x:row r="116">
      <x:c r="A116" s="48" t="str">
        <x:v>Q0115</x:v>
      </x:c>
      <x:c r="B116" s="48" t="str">
        <x:v>ORG012</x:v>
      </x:c>
      <x:c r="C116" s="48" t="str">
        <x:v>Escherichia coli</x:v>
      </x:c>
      <x:c r="D116" s="48" t="str">
        <x:v>Biochemical</x:v>
      </x:c>
      <x:c r="E116" s="48" t="str">
        <x:v>Indole positive?</x:v>
      </x:c>
      <x:c r="F116" s="48" t="str">
        <x:v>TRUE</x:v>
      </x:c>
      <x:c r="G116" s="48" t="str">
        <x:v>Key test profile: Fast lactose fermenter (pink on MacConkey), Metallic green sheen on EMB agar, Indole (+), MR (+), VP (-), Citrate (-) [IMViC: ++--].</x:v>
      </x:c>
      <x:c r="H116" s="48" t="str">
        <x:v>Medium</x:v>
      </x:c>
      <x:c r="I116" s="48" t="str">
        <x:v>High</x:v>
      </x:c>
      <x:c r="J116" s="48" t="str">
        <x:v>Bacterial Morphology &amp; Physiology Cantres 2026</x:v>
      </x:c>
      <x:c r="K116" s="48" t="str"/>
      <x:c r="L116" s="48" t="str">
        <x:v>TRUE</x:v>
      </x:c>
      <x:c r="M116" s="48" t="str"/>
      <x:c r="N116" s="54" t="n">
        <x:v>46277</x:v>
      </x:c>
    </x:row>
    <x:row r="117">
      <x:c r="A117" s="48" t="str">
        <x:v>Q0116</x:v>
      </x:c>
      <x:c r="B117" s="48" t="str">
        <x:v>ORG012</x:v>
      </x:c>
      <x:c r="C117" s="48" t="str">
        <x:v>Escherichia coli</x:v>
      </x:c>
      <x:c r="D117" s="48" t="str">
        <x:v>Biochemical</x:v>
      </x:c>
      <x:c r="E117" s="48" t="str">
        <x:v>Citrate positive?</x:v>
      </x:c>
      <x:c r="F117" s="48" t="str">
        <x:v>FALSE</x:v>
      </x:c>
      <x:c r="G117" s="48" t="str">
        <x:v>Key test profile: Fast lactose fermenter (pink on MacConkey), Metallic green sheen on EMB agar, Indole (+), MR (+), VP (-), Citrate (-) [IMViC: ++--].</x:v>
      </x:c>
      <x:c r="H117" s="48" t="str">
        <x:v>Medium</x:v>
      </x:c>
      <x:c r="I117" s="48" t="str">
        <x:v>High</x:v>
      </x:c>
      <x:c r="J117" s="48" t="str">
        <x:v>Bacterial Morphology &amp; Physiology Cantres 2026</x:v>
      </x:c>
      <x:c r="K117" s="48" t="str"/>
      <x:c r="L117" s="48" t="str">
        <x:v>TRUE</x:v>
      </x:c>
      <x:c r="M117" s="48" t="str"/>
      <x:c r="N117" s="54" t="n">
        <x:v>46277</x:v>
      </x:c>
    </x:row>
    <x:row r="118">
      <x:c r="A118" s="48" t="str">
        <x:v>Q0117</x:v>
      </x:c>
      <x:c r="B118" s="48" t="str">
        <x:v>ORG013</x:v>
      </x:c>
      <x:c r="C118" s="48" t="str">
        <x:v>Klebsiella pneumoniae</x:v>
      </x:c>
      <x:c r="D118" s="48" t="str">
        <x:v>Morphology</x:v>
      </x:c>
      <x:c r="E118" s="48" t="str">
        <x:v>Gram-positive?</x:v>
      </x:c>
      <x:c r="F118" s="48" t="str">
        <x:v>FALSE</x:v>
      </x:c>
      <x:c r="G118" s="48" t="str">
        <x:v>Klebsiella pneumoniae is listed as Gram-Negative (-).</x:v>
      </x:c>
      <x:c r="H118" s="48" t="str">
        <x:v>Easy</x:v>
      </x:c>
      <x:c r="I118" s="48" t="str">
        <x:v>High</x:v>
      </x:c>
      <x:c r="J118" s="48" t="str">
        <x:v>Bacterial Morphology &amp; Physiology Cantres 2026</x:v>
      </x:c>
      <x:c r="K118" s="48" t="str"/>
      <x:c r="L118" s="48" t="str">
        <x:v>TRUE</x:v>
      </x:c>
      <x:c r="M118" s="48" t="str"/>
      <x:c r="N118" s="54" t="n">
        <x:v>46277</x:v>
      </x:c>
    </x:row>
    <x:row r="119">
      <x:c r="A119" s="48" t="str">
        <x:v>Q0118</x:v>
      </x:c>
      <x:c r="B119" s="48" t="str">
        <x:v>ORG013</x:v>
      </x:c>
      <x:c r="C119" s="48" t="str">
        <x:v>Klebsiella pneumoniae</x:v>
      </x:c>
      <x:c r="D119" s="48" t="str">
        <x:v>Biochemical</x:v>
      </x:c>
      <x:c r="E119" s="48" t="str">
        <x:v>Catalase positive?</x:v>
      </x:c>
      <x:c r="F119" s="48" t="str">
        <x:v>TRUE</x:v>
      </x:c>
      <x:c r="G119" s="48" t="str">
        <x:v>Catalase: Positive (+).</x:v>
      </x:c>
      <x:c r="H119" s="48" t="str">
        <x:v>Easy</x:v>
      </x:c>
      <x:c r="I119" s="48" t="str">
        <x:v>High</x:v>
      </x:c>
      <x:c r="J119" s="48" t="str">
        <x:v>Bacterial Morphology &amp; Physiology Cantres 2026</x:v>
      </x:c>
      <x:c r="K119" s="48" t="str"/>
      <x:c r="L119" s="48" t="str">
        <x:v>TRUE</x:v>
      </x:c>
      <x:c r="M119" s="48" t="str"/>
      <x:c r="N119" s="54" t="n">
        <x:v>46277</x:v>
      </x:c>
    </x:row>
    <x:row r="120">
      <x:c r="A120" s="48" t="str">
        <x:v>Q0119</x:v>
      </x:c>
      <x:c r="B120" s="48" t="str">
        <x:v>ORG013</x:v>
      </x:c>
      <x:c r="C120" s="48" t="str">
        <x:v>Klebsiella pneumoniae</x:v>
      </x:c>
      <x:c r="D120" s="48" t="str">
        <x:v>Biochemical</x:v>
      </x:c>
      <x:c r="E120" s="48" t="str">
        <x:v>Oxidase positive?</x:v>
      </x:c>
      <x:c r="F120" s="48" t="str">
        <x:v>FALSE</x:v>
      </x:c>
      <x:c r="G120" s="48" t="str">
        <x:v>Oxidase: Negative (-).</x:v>
      </x:c>
      <x:c r="H120" s="48" t="str">
        <x:v>Easy</x:v>
      </x:c>
      <x:c r="I120" s="48" t="str">
        <x:v>High</x:v>
      </x:c>
      <x:c r="J120" s="48" t="str">
        <x:v>Bacterial Morphology &amp; Physiology Cantres 2026</x:v>
      </x:c>
      <x:c r="K120" s="48" t="str"/>
      <x:c r="L120" s="48" t="str">
        <x:v>TRUE</x:v>
      </x:c>
      <x:c r="M120" s="48" t="str"/>
      <x:c r="N120" s="54" t="n">
        <x:v>46277</x:v>
      </x:c>
    </x:row>
    <x:row r="121">
      <x:c r="A121" s="48" t="str">
        <x:v>Q0120</x:v>
      </x:c>
      <x:c r="B121" s="48" t="str">
        <x:v>ORG013</x:v>
      </x:c>
      <x:c r="C121" s="48" t="str">
        <x:v>Klebsiella pneumoniae</x:v>
      </x:c>
      <x:c r="D121" s="48" t="str">
        <x:v>Morphology</x:v>
      </x:c>
      <x:c r="E121" s="48" t="str">
        <x:v>Motile?</x:v>
      </x:c>
      <x:c r="F121" s="48" t="str">
        <x:v>FALSE</x:v>
      </x:c>
      <x:c r="G121" s="48" t="str">
        <x:v>Motility: Non-motile.</x:v>
      </x:c>
      <x:c r="H121" s="48" t="str">
        <x:v>Easy</x:v>
      </x:c>
      <x:c r="I121" s="48" t="str">
        <x:v>High</x:v>
      </x:c>
      <x:c r="J121" s="48" t="str">
        <x:v>Bacterial Morphology &amp; Physiology Cantres 2026</x:v>
      </x:c>
      <x:c r="K121" s="48" t="str"/>
      <x:c r="L121" s="48" t="str">
        <x:v>TRUE</x:v>
      </x:c>
      <x:c r="M121" s="48" t="str"/>
      <x:c r="N121" s="54" t="n">
        <x:v>46277</x:v>
      </x:c>
    </x:row>
    <x:row r="122">
      <x:c r="A122" s="48" t="str">
        <x:v>Q0121</x:v>
      </x:c>
      <x:c r="B122" s="48" t="str">
        <x:v>ORG013</x:v>
      </x:c>
      <x:c r="C122" s="48" t="str">
        <x:v>Klebsiella pneumoniae</x:v>
      </x:c>
      <x:c r="D122" s="48" t="str">
        <x:v>Morphology</x:v>
      </x:c>
      <x:c r="E122" s="48" t="str">
        <x:v>Spore-forming?</x:v>
      </x:c>
      <x:c r="F122" s="48" t="str">
        <x:v>FALSE</x:v>
      </x:c>
      <x:c r="G122" s="48" t="str">
        <x:v>Spore formation: No.</x:v>
      </x:c>
      <x:c r="H122" s="48" t="str">
        <x:v>Easy</x:v>
      </x:c>
      <x:c r="I122" s="48" t="str">
        <x:v>High</x:v>
      </x:c>
      <x:c r="J122" s="48" t="str">
        <x:v>Bacterial Morphology &amp; Physiology Cantres 2026</x:v>
      </x:c>
      <x:c r="K122" s="48" t="str"/>
      <x:c r="L122" s="48" t="str">
        <x:v>TRUE</x:v>
      </x:c>
      <x:c r="M122" s="48" t="str"/>
      <x:c r="N122" s="54" t="n">
        <x:v>46277</x:v>
      </x:c>
    </x:row>
    <x:row r="123">
      <x:c r="A123" s="48" t="str">
        <x:v>Q0122</x:v>
      </x:c>
      <x:c r="B123" s="48" t="str">
        <x:v>ORG013</x:v>
      </x:c>
      <x:c r="C123" s="48" t="str">
        <x:v>Klebsiella pneumoniae</x:v>
      </x:c>
      <x:c r="D123" s="48" t="str">
        <x:v>Growth</x:v>
      </x:c>
      <x:c r="E123" s="48" t="str">
        <x:v>Facultative anaerobe?</x:v>
      </x:c>
      <x:c r="F123" s="48" t="str">
        <x:v>TRUE</x:v>
      </x:c>
      <x:c r="G123" s="48" t="str">
        <x:v>Oxygen requirement: Facultative Anaerobe.</x:v>
      </x:c>
      <x:c r="H123" s="48" t="str">
        <x:v>Medium</x:v>
      </x:c>
      <x:c r="I123" s="48" t="str">
        <x:v>High</x:v>
      </x:c>
      <x:c r="J123" s="48" t="str">
        <x:v>Bacterial Morphology &amp; Physiology Cantres 2026</x:v>
      </x:c>
      <x:c r="K123" s="48" t="str"/>
      <x:c r="L123" s="48" t="str">
        <x:v>TRUE</x:v>
      </x:c>
      <x:c r="M123" s="48" t="str"/>
      <x:c r="N123" s="54" t="n">
        <x:v>46277</x:v>
      </x:c>
    </x:row>
    <x:row r="124">
      <x:c r="A124" s="48" t="str">
        <x:v>Q0123</x:v>
      </x:c>
      <x:c r="B124" s="48" t="str">
        <x:v>ORG013</x:v>
      </x:c>
      <x:c r="C124" s="48" t="str">
        <x:v>Klebsiella pneumoniae</x:v>
      </x:c>
      <x:c r="D124" s="48" t="str">
        <x:v>Growth</x:v>
      </x:c>
      <x:c r="E124" s="48" t="str">
        <x:v>Strict aerobe?</x:v>
      </x:c>
      <x:c r="F124" s="48" t="str">
        <x:v>FALSE</x:v>
      </x:c>
      <x:c r="G124" s="48" t="str">
        <x:v>Oxygen requirement: Facultative Anaerobe.</x:v>
      </x:c>
      <x:c r="H124" s="48" t="str">
        <x:v>Medium</x:v>
      </x:c>
      <x:c r="I124" s="48" t="str">
        <x:v>High</x:v>
      </x:c>
      <x:c r="J124" s="48" t="str">
        <x:v>Bacterial Morphology &amp; Physiology Cantres 2026</x:v>
      </x:c>
      <x:c r="K124" s="48" t="str"/>
      <x:c r="L124" s="48" t="str">
        <x:v>TRUE</x:v>
      </x:c>
      <x:c r="M124" s="48" t="str"/>
      <x:c r="N124" s="54" t="n">
        <x:v>46277</x:v>
      </x:c>
    </x:row>
    <x:row r="125">
      <x:c r="A125" s="48" t="str">
        <x:v>Q0124</x:v>
      </x:c>
      <x:c r="B125" s="48" t="str">
        <x:v>ORG013</x:v>
      </x:c>
      <x:c r="C125" s="48" t="str">
        <x:v>Klebsiella pneumoniae</x:v>
      </x:c>
      <x:c r="D125" s="48" t="str">
        <x:v>Growth</x:v>
      </x:c>
      <x:c r="E125" s="48" t="str">
        <x:v>Beta-hemolytic?</x:v>
      </x:c>
      <x:c r="F125" s="48" t="str">
        <x:v>FALSE</x:v>
      </x:c>
      <x:c r="G125" s="48" t="str">
        <x:v>Hemolysis: Non-hemolytic.</x:v>
      </x:c>
      <x:c r="H125" s="48" t="str">
        <x:v>Medium</x:v>
      </x:c>
      <x:c r="I125" s="48" t="str">
        <x:v>High</x:v>
      </x:c>
      <x:c r="J125" s="48" t="str">
        <x:v>Bacterial Morphology &amp; Physiology Cantres 2026</x:v>
      </x:c>
      <x:c r="K125" s="48" t="str"/>
      <x:c r="L125" s="48" t="str">
        <x:v>TRUE</x:v>
      </x:c>
      <x:c r="M125" s="48" t="str"/>
      <x:c r="N125" s="54" t="n">
        <x:v>46277</x:v>
      </x:c>
    </x:row>
    <x:row r="126">
      <x:c r="A126" s="48" t="str">
        <x:v>Q0125</x:v>
      </x:c>
      <x:c r="B126" s="48" t="str">
        <x:v>ORG013</x:v>
      </x:c>
      <x:c r="C126" s="48" t="str">
        <x:v>Klebsiella pneumoniae</x:v>
      </x:c>
      <x:c r="D126" s="48" t="str">
        <x:v>Biochemical</x:v>
      </x:c>
      <x:c r="E126" s="48" t="str">
        <x:v>Lactose fermenter?</x:v>
      </x:c>
      <x:c r="F126" s="48" t="str">
        <x:v>TRUE</x:v>
      </x:c>
      <x:c r="G126" s="48" t="str">
        <x:v>Key test profile: Fast lactose fermenter (mucoid pink colonies on MAC), Urease positive (slow), Citrate (+), VP (+), MR (-) [IMViC: --++].</x:v>
      </x:c>
      <x:c r="H126" s="48" t="str">
        <x:v>Medium</x:v>
      </x:c>
      <x:c r="I126" s="48" t="str">
        <x:v>High</x:v>
      </x:c>
      <x:c r="J126" s="48" t="str">
        <x:v>Bacterial Morphology &amp; Physiology Cantres 2026</x:v>
      </x:c>
      <x:c r="K126" s="48" t="str"/>
      <x:c r="L126" s="48" t="str">
        <x:v>TRUE</x:v>
      </x:c>
      <x:c r="M126" s="48" t="str"/>
      <x:c r="N126" s="54" t="n">
        <x:v>46277</x:v>
      </x:c>
    </x:row>
    <x:row r="127">
      <x:c r="A127" s="48" t="str">
        <x:v>Q0126</x:v>
      </x:c>
      <x:c r="B127" s="48" t="str">
        <x:v>ORG013</x:v>
      </x:c>
      <x:c r="C127" s="48" t="str">
        <x:v>Klebsiella pneumoniae</x:v>
      </x:c>
      <x:c r="D127" s="48" t="str">
        <x:v>Biochemical</x:v>
      </x:c>
      <x:c r="E127" s="48" t="str">
        <x:v>Citrate positive?</x:v>
      </x:c>
      <x:c r="F127" s="48" t="str">
        <x:v>TRUE</x:v>
      </x:c>
      <x:c r="G127" s="48" t="str">
        <x:v>Key test profile: Fast lactose fermenter (mucoid pink colonies on MAC), Urease positive (slow), Citrate (+), VP (+), MR (-) [IMViC: --++].</x:v>
      </x:c>
      <x:c r="H127" s="48" t="str">
        <x:v>Medium</x:v>
      </x:c>
      <x:c r="I127" s="48" t="str">
        <x:v>High</x:v>
      </x:c>
      <x:c r="J127" s="48" t="str">
        <x:v>Bacterial Morphology &amp; Physiology Cantres 2026</x:v>
      </x:c>
      <x:c r="K127" s="48" t="str"/>
      <x:c r="L127" s="48" t="str">
        <x:v>TRUE</x:v>
      </x:c>
      <x:c r="M127" s="48" t="str"/>
      <x:c r="N127" s="54" t="n">
        <x:v>46277</x:v>
      </x:c>
    </x:row>
    <x:row r="128">
      <x:c r="A128" s="48" t="str">
        <x:v>Q0127</x:v>
      </x:c>
      <x:c r="B128" s="48" t="str">
        <x:v>ORG014</x:v>
      </x:c>
      <x:c r="C128" s="48" t="str">
        <x:v>Proteus mirabilis / Proteus vulgaris</x:v>
      </x:c>
      <x:c r="D128" s="48" t="str">
        <x:v>Morphology</x:v>
      </x:c>
      <x:c r="E128" s="48" t="str">
        <x:v>Gram-positive?</x:v>
      </x:c>
      <x:c r="F128" s="48" t="str">
        <x:v>FALSE</x:v>
      </x:c>
      <x:c r="G128" s="48" t="str">
        <x:v>Proteus mirabilis / Proteus vulgaris is listed as Gram-Negative (-).</x:v>
      </x:c>
      <x:c r="H128" s="48" t="str">
        <x:v>Easy</x:v>
      </x:c>
      <x:c r="I128" s="48" t="str">
        <x:v>High</x:v>
      </x:c>
      <x:c r="J128" s="48" t="str">
        <x:v>Bacterial Morphology &amp; Physiology Cantres 2026</x:v>
      </x:c>
      <x:c r="K128" s="48" t="str"/>
      <x:c r="L128" s="48" t="str">
        <x:v>TRUE</x:v>
      </x:c>
      <x:c r="M128" s="48" t="str"/>
      <x:c r="N128" s="54" t="n">
        <x:v>46277</x:v>
      </x:c>
    </x:row>
    <x:row r="129">
      <x:c r="A129" s="48" t="str">
        <x:v>Q0128</x:v>
      </x:c>
      <x:c r="B129" s="48" t="str">
        <x:v>ORG014</x:v>
      </x:c>
      <x:c r="C129" s="48" t="str">
        <x:v>Proteus mirabilis / Proteus vulgaris</x:v>
      </x:c>
      <x:c r="D129" s="48" t="str">
        <x:v>Biochemical</x:v>
      </x:c>
      <x:c r="E129" s="48" t="str">
        <x:v>Catalase positive?</x:v>
      </x:c>
      <x:c r="F129" s="48" t="str">
        <x:v>TRUE</x:v>
      </x:c>
      <x:c r="G129" s="48" t="str">
        <x:v>Catalase: Positive (+).</x:v>
      </x:c>
      <x:c r="H129" s="48" t="str">
        <x:v>Easy</x:v>
      </x:c>
      <x:c r="I129" s="48" t="str">
        <x:v>High</x:v>
      </x:c>
      <x:c r="J129" s="48" t="str">
        <x:v>Bacterial Morphology &amp; Physiology Cantres 2026</x:v>
      </x:c>
      <x:c r="K129" s="48" t="str"/>
      <x:c r="L129" s="48" t="str">
        <x:v>TRUE</x:v>
      </x:c>
      <x:c r="M129" s="48" t="str"/>
      <x:c r="N129" s="54" t="n">
        <x:v>46277</x:v>
      </x:c>
    </x:row>
    <x:row r="130">
      <x:c r="A130" s="48" t="str">
        <x:v>Q0129</x:v>
      </x:c>
      <x:c r="B130" s="48" t="str">
        <x:v>ORG014</x:v>
      </x:c>
      <x:c r="C130" s="48" t="str">
        <x:v>Proteus mirabilis / Proteus vulgaris</x:v>
      </x:c>
      <x:c r="D130" s="48" t="str">
        <x:v>Biochemical</x:v>
      </x:c>
      <x:c r="E130" s="48" t="str">
        <x:v>Oxidase positive?</x:v>
      </x:c>
      <x:c r="F130" s="48" t="str">
        <x:v>FALSE</x:v>
      </x:c>
      <x:c r="G130" s="48" t="str">
        <x:v>Oxidase: Negative (-).</x:v>
      </x:c>
      <x:c r="H130" s="48" t="str">
        <x:v>Easy</x:v>
      </x:c>
      <x:c r="I130" s="48" t="str">
        <x:v>High</x:v>
      </x:c>
      <x:c r="J130" s="48" t="str">
        <x:v>Bacterial Morphology &amp; Physiology Cantres 2026</x:v>
      </x:c>
      <x:c r="K130" s="48" t="str"/>
      <x:c r="L130" s="48" t="str">
        <x:v>TRUE</x:v>
      </x:c>
      <x:c r="M130" s="48" t="str"/>
      <x:c r="N130" s="54" t="n">
        <x:v>46277</x:v>
      </x:c>
    </x:row>
    <x:row r="131">
      <x:c r="A131" s="48" t="str">
        <x:v>Q0130</x:v>
      </x:c>
      <x:c r="B131" s="48" t="str">
        <x:v>ORG014</x:v>
      </x:c>
      <x:c r="C131" s="48" t="str">
        <x:v>Proteus mirabilis / Proteus vulgaris</x:v>
      </x:c>
      <x:c r="D131" s="48" t="str">
        <x:v>Morphology</x:v>
      </x:c>
      <x:c r="E131" s="48" t="str">
        <x:v>Motile?</x:v>
      </x:c>
      <x:c r="F131" s="48" t="str">
        <x:v>TRUE</x:v>
      </x:c>
      <x:c r="G131" s="48" t="str">
        <x:v>Motility: Highly motile (Swarming motility on blood agar).</x:v>
      </x:c>
      <x:c r="H131" s="48" t="str">
        <x:v>Easy</x:v>
      </x:c>
      <x:c r="I131" s="48" t="str">
        <x:v>High</x:v>
      </x:c>
      <x:c r="J131" s="48" t="str">
        <x:v>Bacterial Morphology &amp; Physiology Cantres 2026</x:v>
      </x:c>
      <x:c r="K131" s="48" t="str"/>
      <x:c r="L131" s="48" t="str">
        <x:v>TRUE</x:v>
      </x:c>
      <x:c r="M131" s="48" t="str"/>
      <x:c r="N131" s="54" t="n">
        <x:v>46277</x:v>
      </x:c>
    </x:row>
    <x:row r="132">
      <x:c r="A132" s="48" t="str">
        <x:v>Q0131</x:v>
      </x:c>
      <x:c r="B132" s="48" t="str">
        <x:v>ORG014</x:v>
      </x:c>
      <x:c r="C132" s="48" t="str">
        <x:v>Proteus mirabilis / Proteus vulgaris</x:v>
      </x:c>
      <x:c r="D132" s="48" t="str">
        <x:v>Morphology</x:v>
      </x:c>
      <x:c r="E132" s="48" t="str">
        <x:v>Spore-forming?</x:v>
      </x:c>
      <x:c r="F132" s="48" t="str">
        <x:v>FALSE</x:v>
      </x:c>
      <x:c r="G132" s="48" t="str">
        <x:v>Spore formation: No.</x:v>
      </x:c>
      <x:c r="H132" s="48" t="str">
        <x:v>Easy</x:v>
      </x:c>
      <x:c r="I132" s="48" t="str">
        <x:v>High</x:v>
      </x:c>
      <x:c r="J132" s="48" t="str">
        <x:v>Bacterial Morphology &amp; Physiology Cantres 2026</x:v>
      </x:c>
      <x:c r="K132" s="48" t="str"/>
      <x:c r="L132" s="48" t="str">
        <x:v>TRUE</x:v>
      </x:c>
      <x:c r="M132" s="48" t="str"/>
      <x:c r="N132" s="54" t="n">
        <x:v>46277</x:v>
      </x:c>
    </x:row>
    <x:row r="133">
      <x:c r="A133" s="48" t="str">
        <x:v>Q0132</x:v>
      </x:c>
      <x:c r="B133" s="48" t="str">
        <x:v>ORG014</x:v>
      </x:c>
      <x:c r="C133" s="48" t="str">
        <x:v>Proteus mirabilis / Proteus vulgaris</x:v>
      </x:c>
      <x:c r="D133" s="48" t="str">
        <x:v>Growth</x:v>
      </x:c>
      <x:c r="E133" s="48" t="str">
        <x:v>Facultative anaerobe?</x:v>
      </x:c>
      <x:c r="F133" s="48" t="str">
        <x:v>TRUE</x:v>
      </x:c>
      <x:c r="G133" s="48" t="str">
        <x:v>Oxygen requirement: Facultative Anaerobe.</x:v>
      </x:c>
      <x:c r="H133" s="48" t="str">
        <x:v>Medium</x:v>
      </x:c>
      <x:c r="I133" s="48" t="str">
        <x:v>High</x:v>
      </x:c>
      <x:c r="J133" s="48" t="str">
        <x:v>Bacterial Morphology &amp; Physiology Cantres 2026</x:v>
      </x:c>
      <x:c r="K133" s="48" t="str"/>
      <x:c r="L133" s="48" t="str">
        <x:v>TRUE</x:v>
      </x:c>
      <x:c r="M133" s="48" t="str"/>
      <x:c r="N133" s="54" t="n">
        <x:v>46277</x:v>
      </x:c>
    </x:row>
    <x:row r="134">
      <x:c r="A134" s="48" t="str">
        <x:v>Q0133</x:v>
      </x:c>
      <x:c r="B134" s="48" t="str">
        <x:v>ORG014</x:v>
      </x:c>
      <x:c r="C134" s="48" t="str">
        <x:v>Proteus mirabilis / Proteus vulgaris</x:v>
      </x:c>
      <x:c r="D134" s="48" t="str">
        <x:v>Growth</x:v>
      </x:c>
      <x:c r="E134" s="48" t="str">
        <x:v>Strict aerobe?</x:v>
      </x:c>
      <x:c r="F134" s="48" t="str">
        <x:v>FALSE</x:v>
      </x:c>
      <x:c r="G134" s="48" t="str">
        <x:v>Oxygen requirement: Facultative Anaerobe.</x:v>
      </x:c>
      <x:c r="H134" s="48" t="str">
        <x:v>Medium</x:v>
      </x:c>
      <x:c r="I134" s="48" t="str">
        <x:v>High</x:v>
      </x:c>
      <x:c r="J134" s="48" t="str">
        <x:v>Bacterial Morphology &amp; Physiology Cantres 2026</x:v>
      </x:c>
      <x:c r="K134" s="48" t="str"/>
      <x:c r="L134" s="48" t="str">
        <x:v>TRUE</x:v>
      </x:c>
      <x:c r="M134" s="48" t="str"/>
      <x:c r="N134" s="54" t="n">
        <x:v>46277</x:v>
      </x:c>
    </x:row>
    <x:row r="135">
      <x:c r="A135" s="48" t="str">
        <x:v>Q0134</x:v>
      </x:c>
      <x:c r="B135" s="48" t="str">
        <x:v>ORG014</x:v>
      </x:c>
      <x:c r="C135" s="48" t="str">
        <x:v>Proteus mirabilis / Proteus vulgaris</x:v>
      </x:c>
      <x:c r="D135" s="48" t="str">
        <x:v>Biochemical</x:v>
      </x:c>
      <x:c r="E135" s="48" t="str">
        <x:v>Lactose fermenter?</x:v>
      </x:c>
      <x:c r="F135" s="48" t="str">
        <x:v>FALSE</x:v>
      </x:c>
      <x:c r="G135" s="48" t="str">
        <x:v>Key test profile: Lactose non-fermenter (colorless on MAC), Rapid Urease (+), H2S positive (+) (black in TSI/Hektoen). P. mirabilis: Indole (-); P. vulgaris: Indole (+).</x:v>
      </x:c>
      <x:c r="H135" s="48" t="str">
        <x:v>Medium</x:v>
      </x:c>
      <x:c r="I135" s="48" t="str">
        <x:v>High</x:v>
      </x:c>
      <x:c r="J135" s="48" t="str">
        <x:v>Bacterial Morphology &amp; Physiology Cantres 2026</x:v>
      </x:c>
      <x:c r="K135" s="48" t="str"/>
      <x:c r="L135" s="48" t="str">
        <x:v>TRUE</x:v>
      </x:c>
      <x:c r="M135" s="48" t="str"/>
      <x:c r="N135" s="54" t="n">
        <x:v>46277</x:v>
      </x:c>
    </x:row>
    <x:row r="136">
      <x:c r="A136" s="48" t="str">
        <x:v>Q0135</x:v>
      </x:c>
      <x:c r="B136" s="48" t="str">
        <x:v>ORG014</x:v>
      </x:c>
      <x:c r="C136" s="48" t="str">
        <x:v>Proteus mirabilis / Proteus vulgaris</x:v>
      </x:c>
      <x:c r="D136" s="48" t="str">
        <x:v>Biochemical</x:v>
      </x:c>
      <x:c r="E136" s="48" t="str">
        <x:v>Urease positive?</x:v>
      </x:c>
      <x:c r="F136" s="48" t="str">
        <x:v>TRUE</x:v>
      </x:c>
      <x:c r="G136" s="48" t="str">
        <x:v>Key test profile: Lactose non-fermenter (colorless on MAC), Rapid Urease (+), H2S positive (+) (black in TSI/Hektoen). P. mirabilis: Indole (-); P. vulgaris: Indole (+).</x:v>
      </x:c>
      <x:c r="H136" s="48" t="str">
        <x:v>Medium</x:v>
      </x:c>
      <x:c r="I136" s="48" t="str">
        <x:v>High</x:v>
      </x:c>
      <x:c r="J136" s="48" t="str">
        <x:v>Bacterial Morphology &amp; Physiology Cantres 2026</x:v>
      </x:c>
      <x:c r="K136" s="48" t="str"/>
      <x:c r="L136" s="48" t="str">
        <x:v>TRUE</x:v>
      </x:c>
      <x:c r="M136" s="48" t="str"/>
      <x:c r="N136" s="54" t="n">
        <x:v>46277</x:v>
      </x:c>
    </x:row>
    <x:row r="137">
      <x:c r="A137" s="48" t="str">
        <x:v>Q0136</x:v>
      </x:c>
      <x:c r="B137" s="48" t="str">
        <x:v>ORG014</x:v>
      </x:c>
      <x:c r="C137" s="48" t="str">
        <x:v>Proteus mirabilis / Proteus vulgaris</x:v>
      </x:c>
      <x:c r="D137" s="48" t="str">
        <x:v>Biochemical</x:v>
      </x:c>
      <x:c r="E137" s="48" t="str">
        <x:v>H2S positive?</x:v>
      </x:c>
      <x:c r="F137" s="48" t="str">
        <x:v>TRUE</x:v>
      </x:c>
      <x:c r="G137" s="48" t="str">
        <x:v>Key test profile: Lactose non-fermenter (colorless on MAC), Rapid Urease (+), H2S positive (+) (black in TSI/Hektoen). P. mirabilis: Indole (-); P. vulgaris: Indole (+).</x:v>
      </x:c>
      <x:c r="H137" s="48" t="str">
        <x:v>Medium</x:v>
      </x:c>
      <x:c r="I137" s="48" t="str">
        <x:v>High</x:v>
      </x:c>
      <x:c r="J137" s="48" t="str">
        <x:v>Bacterial Morphology &amp; Physiology Cantres 2026</x:v>
      </x:c>
      <x:c r="K137" s="48" t="str"/>
      <x:c r="L137" s="48" t="str">
        <x:v>TRUE</x:v>
      </x:c>
      <x:c r="M137" s="48" t="str"/>
      <x:c r="N137" s="54" t="n">
        <x:v>46277</x:v>
      </x:c>
    </x:row>
    <x:row r="138">
      <x:c r="A138" s="48" t="str">
        <x:v>Q0137</x:v>
      </x:c>
      <x:c r="B138" s="48" t="str">
        <x:v>ORG015</x:v>
      </x:c>
      <x:c r="C138" s="48" t="str">
        <x:v>Pseudomonas aeruginosa</x:v>
      </x:c>
      <x:c r="D138" s="48" t="str">
        <x:v>Morphology</x:v>
      </x:c>
      <x:c r="E138" s="48" t="str">
        <x:v>Gram-positive?</x:v>
      </x:c>
      <x:c r="F138" s="48" t="str">
        <x:v>FALSE</x:v>
      </x:c>
      <x:c r="G138" s="48" t="str">
        <x:v>Pseudomonas aeruginosa is listed as Gram-Negative (-).</x:v>
      </x:c>
      <x:c r="H138" s="48" t="str">
        <x:v>Easy</x:v>
      </x:c>
      <x:c r="I138" s="48" t="str">
        <x:v>High</x:v>
      </x:c>
      <x:c r="J138" s="48" t="str">
        <x:v>Bacterial Morphology &amp; Physiology Cantres 2026</x:v>
      </x:c>
      <x:c r="K138" s="48" t="str"/>
      <x:c r="L138" s="48" t="str">
        <x:v>TRUE</x:v>
      </x:c>
      <x:c r="M138" s="48" t="str"/>
      <x:c r="N138" s="54" t="n">
        <x:v>46277</x:v>
      </x:c>
    </x:row>
    <x:row r="139">
      <x:c r="A139" s="48" t="str">
        <x:v>Q0138</x:v>
      </x:c>
      <x:c r="B139" s="48" t="str">
        <x:v>ORG015</x:v>
      </x:c>
      <x:c r="C139" s="48" t="str">
        <x:v>Pseudomonas aeruginosa</x:v>
      </x:c>
      <x:c r="D139" s="48" t="str">
        <x:v>Biochemical</x:v>
      </x:c>
      <x:c r="E139" s="48" t="str">
        <x:v>Catalase positive?</x:v>
      </x:c>
      <x:c r="F139" s="48" t="str">
        <x:v>TRUE</x:v>
      </x:c>
      <x:c r="G139" s="48" t="str">
        <x:v>Catalase: Positive (+).</x:v>
      </x:c>
      <x:c r="H139" s="48" t="str">
        <x:v>Easy</x:v>
      </x:c>
      <x:c r="I139" s="48" t="str">
        <x:v>High</x:v>
      </x:c>
      <x:c r="J139" s="48" t="str">
        <x:v>Bacterial Morphology &amp; Physiology Cantres 2026</x:v>
      </x:c>
      <x:c r="K139" s="48" t="str"/>
      <x:c r="L139" s="48" t="str">
        <x:v>TRUE</x:v>
      </x:c>
      <x:c r="M139" s="48" t="str"/>
      <x:c r="N139" s="54" t="n">
        <x:v>46277</x:v>
      </x:c>
    </x:row>
    <x:row r="140">
      <x:c r="A140" s="48" t="str">
        <x:v>Q0139</x:v>
      </x:c>
      <x:c r="B140" s="48" t="str">
        <x:v>ORG015</x:v>
      </x:c>
      <x:c r="C140" s="48" t="str">
        <x:v>Pseudomonas aeruginosa</x:v>
      </x:c>
      <x:c r="D140" s="48" t="str">
        <x:v>Biochemical</x:v>
      </x:c>
      <x:c r="E140" s="48" t="str">
        <x:v>Oxidase positive?</x:v>
      </x:c>
      <x:c r="F140" s="48" t="str">
        <x:v>TRUE</x:v>
      </x:c>
      <x:c r="G140" s="48" t="str">
        <x:v>Oxidase: Positive (+).</x:v>
      </x:c>
      <x:c r="H140" s="48" t="str">
        <x:v>Easy</x:v>
      </x:c>
      <x:c r="I140" s="48" t="str">
        <x:v>High</x:v>
      </x:c>
      <x:c r="J140" s="48" t="str">
        <x:v>Bacterial Morphology &amp; Physiology Cantres 2026</x:v>
      </x:c>
      <x:c r="K140" s="48" t="str"/>
      <x:c r="L140" s="48" t="str">
        <x:v>TRUE</x:v>
      </x:c>
      <x:c r="M140" s="48" t="str"/>
      <x:c r="N140" s="54" t="n">
        <x:v>46277</x:v>
      </x:c>
    </x:row>
    <x:row r="141">
      <x:c r="A141" s="48" t="str">
        <x:v>Q0140</x:v>
      </x:c>
      <x:c r="B141" s="48" t="str">
        <x:v>ORG015</x:v>
      </x:c>
      <x:c r="C141" s="48" t="str">
        <x:v>Pseudomonas aeruginosa</x:v>
      </x:c>
      <x:c r="D141" s="48" t="str">
        <x:v>Morphology</x:v>
      </x:c>
      <x:c r="E141" s="48" t="str">
        <x:v>Motile?</x:v>
      </x:c>
      <x:c r="F141" s="48" t="str">
        <x:v>TRUE</x:v>
      </x:c>
      <x:c r="G141" s="48" t="str">
        <x:v>Motility: Motile (polar flagella).</x:v>
      </x:c>
      <x:c r="H141" s="48" t="str">
        <x:v>Easy</x:v>
      </x:c>
      <x:c r="I141" s="48" t="str">
        <x:v>High</x:v>
      </x:c>
      <x:c r="J141" s="48" t="str">
        <x:v>Bacterial Morphology &amp; Physiology Cantres 2026</x:v>
      </x:c>
      <x:c r="K141" s="48" t="str"/>
      <x:c r="L141" s="48" t="str">
        <x:v>TRUE</x:v>
      </x:c>
      <x:c r="M141" s="48" t="str"/>
      <x:c r="N141" s="54" t="n">
        <x:v>46277</x:v>
      </x:c>
    </x:row>
    <x:row r="142">
      <x:c r="A142" s="48" t="str">
        <x:v>Q0141</x:v>
      </x:c>
      <x:c r="B142" s="48" t="str">
        <x:v>ORG015</x:v>
      </x:c>
      <x:c r="C142" s="48" t="str">
        <x:v>Pseudomonas aeruginosa</x:v>
      </x:c>
      <x:c r="D142" s="48" t="str">
        <x:v>Morphology</x:v>
      </x:c>
      <x:c r="E142" s="48" t="str">
        <x:v>Spore-forming?</x:v>
      </x:c>
      <x:c r="F142" s="48" t="str">
        <x:v>FALSE</x:v>
      </x:c>
      <x:c r="G142" s="48" t="str">
        <x:v>Spore formation: No.</x:v>
      </x:c>
      <x:c r="H142" s="48" t="str">
        <x:v>Easy</x:v>
      </x:c>
      <x:c r="I142" s="48" t="str">
        <x:v>High</x:v>
      </x:c>
      <x:c r="J142" s="48" t="str">
        <x:v>Bacterial Morphology &amp; Physiology Cantres 2026</x:v>
      </x:c>
      <x:c r="K142" s="48" t="str"/>
      <x:c r="L142" s="48" t="str">
        <x:v>TRUE</x:v>
      </x:c>
      <x:c r="M142" s="48" t="str"/>
      <x:c r="N142" s="54" t="n">
        <x:v>46277</x:v>
      </x:c>
    </x:row>
    <x:row r="143">
      <x:c r="A143" s="48" t="str">
        <x:v>Q0142</x:v>
      </x:c>
      <x:c r="B143" s="48" t="str">
        <x:v>ORG015</x:v>
      </x:c>
      <x:c r="C143" s="48" t="str">
        <x:v>Pseudomonas aeruginosa</x:v>
      </x:c>
      <x:c r="D143" s="48" t="str">
        <x:v>Growth</x:v>
      </x:c>
      <x:c r="E143" s="48" t="str">
        <x:v>Facultative anaerobe?</x:v>
      </x:c>
      <x:c r="F143" s="48" t="str">
        <x:v>FALSE</x:v>
      </x:c>
      <x:c r="G143" s="48" t="str">
        <x:v>Oxygen requirement: Strict Aerobe (non-fermenter).</x:v>
      </x:c>
      <x:c r="H143" s="48" t="str">
        <x:v>Medium</x:v>
      </x:c>
      <x:c r="I143" s="48" t="str">
        <x:v>High</x:v>
      </x:c>
      <x:c r="J143" s="48" t="str">
        <x:v>Bacterial Morphology &amp; Physiology Cantres 2026</x:v>
      </x:c>
      <x:c r="K143" s="48" t="str"/>
      <x:c r="L143" s="48" t="str">
        <x:v>TRUE</x:v>
      </x:c>
      <x:c r="M143" s="48" t="str"/>
      <x:c r="N143" s="54" t="n">
        <x:v>46277</x:v>
      </x:c>
    </x:row>
    <x:row r="144">
      <x:c r="A144" s="48" t="str">
        <x:v>Q0143</x:v>
      </x:c>
      <x:c r="B144" s="48" t="str">
        <x:v>ORG015</x:v>
      </x:c>
      <x:c r="C144" s="48" t="str">
        <x:v>Pseudomonas aeruginosa</x:v>
      </x:c>
      <x:c r="D144" s="48" t="str">
        <x:v>Growth</x:v>
      </x:c>
      <x:c r="E144" s="48" t="str">
        <x:v>Strict aerobe?</x:v>
      </x:c>
      <x:c r="F144" s="48" t="str">
        <x:v>TRUE</x:v>
      </x:c>
      <x:c r="G144" s="48" t="str">
        <x:v>Oxygen requirement: Strict Aerobe (non-fermenter).</x:v>
      </x:c>
      <x:c r="H144" s="48" t="str">
        <x:v>Medium</x:v>
      </x:c>
      <x:c r="I144" s="48" t="str">
        <x:v>High</x:v>
      </x:c>
      <x:c r="J144" s="48" t="str">
        <x:v>Bacterial Morphology &amp; Physiology Cantres 2026</x:v>
      </x:c>
      <x:c r="K144" s="48" t="str"/>
      <x:c r="L144" s="48" t="str">
        <x:v>TRUE</x:v>
      </x:c>
      <x:c r="M144" s="48" t="str"/>
      <x:c r="N144" s="54" t="n">
        <x:v>46277</x:v>
      </x:c>
    </x:row>
    <x:row r="145">
      <x:c r="A145" s="48" t="str">
        <x:v>Q0144</x:v>
      </x:c>
      <x:c r="B145" s="48" t="str">
        <x:v>ORG015</x:v>
      </x:c>
      <x:c r="C145" s="48" t="str">
        <x:v>Pseudomonas aeruginosa</x:v>
      </x:c>
      <x:c r="D145" s="48" t="str">
        <x:v>Biochemical</x:v>
      </x:c>
      <x:c r="E145" s="48" t="str">
        <x:v>Lactose fermenter?</x:v>
      </x:c>
      <x:c r="F145" s="48" t="str">
        <x:v>FALSE</x:v>
      </x:c>
      <x:c r="G145" s="48" t="str">
        <x:v>Key test profile: Lactose non-fermenter (colorless on MAC), Oxidase (+), OF test: Oxidative only, Grows at 42°C.</x:v>
      </x:c>
      <x:c r="H145" s="48" t="str">
        <x:v>Medium</x:v>
      </x:c>
      <x:c r="I145" s="48" t="str">
        <x:v>High</x:v>
      </x:c>
      <x:c r="J145" s="48" t="str">
        <x:v>Bacterial Morphology &amp; Physiology Cantres 2026</x:v>
      </x:c>
      <x:c r="K145" s="48" t="str"/>
      <x:c r="L145" s="48" t="str">
        <x:v>TRUE</x:v>
      </x:c>
      <x:c r="M145" s="48" t="str"/>
      <x:c r="N145" s="54" t="n">
        <x:v>46277</x:v>
      </x:c>
    </x:row>
    <x:row r="146">
      <x:c r="A146" s="48" t="str">
        <x:v>Q0145</x:v>
      </x:c>
      <x:c r="B146" s="48" t="str">
        <x:v>ORG015</x:v>
      </x:c>
      <x:c r="C146" s="48" t="str">
        <x:v>Pseudomonas aeruginosa</x:v>
      </x:c>
      <x:c r="D146" s="48" t="str">
        <x:v>Growth</x:v>
      </x:c>
      <x:c r="E146" s="48" t="str">
        <x:v>Grows at 42°C?</x:v>
      </x:c>
      <x:c r="F146" s="48" t="str">
        <x:v>TRUE</x:v>
      </x:c>
      <x:c r="G146" s="48" t="str">
        <x:v>Key test profile: Lactose non-fermenter (colorless on MAC), Oxidase (+), OF test: Oxidative only, Grows at 42°C.</x:v>
      </x:c>
      <x:c r="H146" s="48" t="str">
        <x:v>Medium</x:v>
      </x:c>
      <x:c r="I146" s="48" t="str">
        <x:v>High</x:v>
      </x:c>
      <x:c r="J146" s="48" t="str">
        <x:v>Bacterial Morphology &amp; Physiology Cantres 2026</x:v>
      </x:c>
      <x:c r="K146" s="48" t="str"/>
      <x:c r="L146" s="48" t="str">
        <x:v>TRUE</x:v>
      </x:c>
      <x:c r="M146" s="48" t="str"/>
      <x:c r="N146" s="54" t="n">
        <x:v>46277</x:v>
      </x:c>
    </x:row>
    <x:row r="147">
      <x:c r="A147" s="48" t="str">
        <x:v>Q0146</x:v>
      </x:c>
      <x:c r="B147" s="48" t="str">
        <x:v>ORG016</x:v>
      </x:c>
      <x:c r="C147" s="48" t="str">
        <x:v>Vibrio cholerae</x:v>
      </x:c>
      <x:c r="D147" s="48" t="str">
        <x:v>Morphology</x:v>
      </x:c>
      <x:c r="E147" s="48" t="str">
        <x:v>Gram-positive?</x:v>
      </x:c>
      <x:c r="F147" s="48" t="str">
        <x:v>FALSE</x:v>
      </x:c>
      <x:c r="G147" s="48" t="str">
        <x:v>Vibrio cholerae is listed as Gram-Negative (-).</x:v>
      </x:c>
      <x:c r="H147" s="48" t="str">
        <x:v>Easy</x:v>
      </x:c>
      <x:c r="I147" s="48" t="str">
        <x:v>High</x:v>
      </x:c>
      <x:c r="J147" s="48" t="str">
        <x:v>Bacterial Morphology &amp; Physiology Cantres 2026</x:v>
      </x:c>
      <x:c r="K147" s="48" t="str"/>
      <x:c r="L147" s="48" t="str">
        <x:v>TRUE</x:v>
      </x:c>
      <x:c r="M147" s="48" t="str"/>
      <x:c r="N147" s="54" t="n">
        <x:v>46277</x:v>
      </x:c>
    </x:row>
    <x:row r="148">
      <x:c r="A148" s="48" t="str">
        <x:v>Q0147</x:v>
      </x:c>
      <x:c r="B148" s="48" t="str">
        <x:v>ORG016</x:v>
      </x:c>
      <x:c r="C148" s="48" t="str">
        <x:v>Vibrio cholerae</x:v>
      </x:c>
      <x:c r="D148" s="48" t="str">
        <x:v>Biochemical</x:v>
      </x:c>
      <x:c r="E148" s="48" t="str">
        <x:v>Catalase positive?</x:v>
      </x:c>
      <x:c r="F148" s="48" t="str">
        <x:v>TRUE</x:v>
      </x:c>
      <x:c r="G148" s="48" t="str">
        <x:v>Catalase: Positive (+).</x:v>
      </x:c>
      <x:c r="H148" s="48" t="str">
        <x:v>Easy</x:v>
      </x:c>
      <x:c r="I148" s="48" t="str">
        <x:v>High</x:v>
      </x:c>
      <x:c r="J148" s="48" t="str">
        <x:v>Bacterial Morphology &amp; Physiology Cantres 2026</x:v>
      </x:c>
      <x:c r="K148" s="48" t="str"/>
      <x:c r="L148" s="48" t="str">
        <x:v>TRUE</x:v>
      </x:c>
      <x:c r="M148" s="48" t="str"/>
      <x:c r="N148" s="54" t="n">
        <x:v>46277</x:v>
      </x:c>
    </x:row>
    <x:row r="149">
      <x:c r="A149" s="48" t="str">
        <x:v>Q0148</x:v>
      </x:c>
      <x:c r="B149" s="48" t="str">
        <x:v>ORG016</x:v>
      </x:c>
      <x:c r="C149" s="48" t="str">
        <x:v>Vibrio cholerae</x:v>
      </x:c>
      <x:c r="D149" s="48" t="str">
        <x:v>Biochemical</x:v>
      </x:c>
      <x:c r="E149" s="48" t="str">
        <x:v>Oxidase positive?</x:v>
      </x:c>
      <x:c r="F149" s="48" t="str">
        <x:v>TRUE</x:v>
      </x:c>
      <x:c r="G149" s="48" t="str">
        <x:v>Oxidase: Positive (+).</x:v>
      </x:c>
      <x:c r="H149" s="48" t="str">
        <x:v>Easy</x:v>
      </x:c>
      <x:c r="I149" s="48" t="str">
        <x:v>High</x:v>
      </x:c>
      <x:c r="J149" s="48" t="str">
        <x:v>Bacterial Morphology &amp; Physiology Cantres 2026</x:v>
      </x:c>
      <x:c r="K149" s="48" t="str"/>
      <x:c r="L149" s="48" t="str">
        <x:v>TRUE</x:v>
      </x:c>
      <x:c r="M149" s="48" t="str"/>
      <x:c r="N149" s="54" t="n">
        <x:v>46277</x:v>
      </x:c>
    </x:row>
    <x:row r="150">
      <x:c r="A150" s="48" t="str">
        <x:v>Q0149</x:v>
      </x:c>
      <x:c r="B150" s="48" t="str">
        <x:v>ORG016</x:v>
      </x:c>
      <x:c r="C150" s="48" t="str">
        <x:v>Vibrio cholerae</x:v>
      </x:c>
      <x:c r="D150" s="48" t="str">
        <x:v>Morphology</x:v>
      </x:c>
      <x:c r="E150" s="48" t="str">
        <x:v>Motile?</x:v>
      </x:c>
      <x:c r="F150" s="48" t="str">
        <x:v>TRUE</x:v>
      </x:c>
      <x:c r="G150" s="48" t="str">
        <x:v>Motility: Motile (single polar flagellum, darting motility).</x:v>
      </x:c>
      <x:c r="H150" s="48" t="str">
        <x:v>Easy</x:v>
      </x:c>
      <x:c r="I150" s="48" t="str">
        <x:v>High</x:v>
      </x:c>
      <x:c r="J150" s="48" t="str">
        <x:v>Bacterial Morphology &amp; Physiology Cantres 2026</x:v>
      </x:c>
      <x:c r="K150" s="48" t="str"/>
      <x:c r="L150" s="48" t="str">
        <x:v>TRUE</x:v>
      </x:c>
      <x:c r="M150" s="48" t="str"/>
      <x:c r="N150" s="54" t="n">
        <x:v>46277</x:v>
      </x:c>
    </x:row>
    <x:row r="151">
      <x:c r="A151" s="48" t="str">
        <x:v>Q0150</x:v>
      </x:c>
      <x:c r="B151" s="48" t="str">
        <x:v>ORG016</x:v>
      </x:c>
      <x:c r="C151" s="48" t="str">
        <x:v>Vibrio cholerae</x:v>
      </x:c>
      <x:c r="D151" s="48" t="str">
        <x:v>Morphology</x:v>
      </x:c>
      <x:c r="E151" s="48" t="str">
        <x:v>Spore-forming?</x:v>
      </x:c>
      <x:c r="F151" s="48" t="str">
        <x:v>FALSE</x:v>
      </x:c>
      <x:c r="G151" s="48" t="str">
        <x:v>Spore formation: No.</x:v>
      </x:c>
      <x:c r="H151" s="48" t="str">
        <x:v>Easy</x:v>
      </x:c>
      <x:c r="I151" s="48" t="str">
        <x:v>High</x:v>
      </x:c>
      <x:c r="J151" s="48" t="str">
        <x:v>Bacterial Morphology &amp; Physiology Cantres 2026</x:v>
      </x:c>
      <x:c r="K151" s="48" t="str"/>
      <x:c r="L151" s="48" t="str">
        <x:v>TRUE</x:v>
      </x:c>
      <x:c r="M151" s="48" t="str"/>
      <x:c r="N151" s="54" t="n">
        <x:v>46277</x:v>
      </x:c>
    </x:row>
    <x:row r="152">
      <x:c r="A152" s="48" t="str">
        <x:v>Q0151</x:v>
      </x:c>
      <x:c r="B152" s="48" t="str">
        <x:v>ORG016</x:v>
      </x:c>
      <x:c r="C152" s="48" t="str">
        <x:v>Vibrio cholerae</x:v>
      </x:c>
      <x:c r="D152" s="48" t="str">
        <x:v>Growth</x:v>
      </x:c>
      <x:c r="E152" s="48" t="str">
        <x:v>Facultative anaerobe?</x:v>
      </x:c>
      <x:c r="F152" s="48" t="str">
        <x:v>TRUE</x:v>
      </x:c>
      <x:c r="G152" s="48" t="str">
        <x:v>Oxygen requirement: Facultative Anaerobe.</x:v>
      </x:c>
      <x:c r="H152" s="48" t="str">
        <x:v>Medium</x:v>
      </x:c>
      <x:c r="I152" s="48" t="str">
        <x:v>High</x:v>
      </x:c>
      <x:c r="J152" s="48" t="str">
        <x:v>Bacterial Morphology &amp; Physiology Cantres 2026</x:v>
      </x:c>
      <x:c r="K152" s="48" t="str"/>
      <x:c r="L152" s="48" t="str">
        <x:v>TRUE</x:v>
      </x:c>
      <x:c r="M152" s="48" t="str"/>
      <x:c r="N152" s="54" t="n">
        <x:v>46277</x:v>
      </x:c>
    </x:row>
    <x:row r="153">
      <x:c r="A153" s="48" t="str">
        <x:v>Q0152</x:v>
      </x:c>
      <x:c r="B153" s="48" t="str">
        <x:v>ORG016</x:v>
      </x:c>
      <x:c r="C153" s="48" t="str">
        <x:v>Vibrio cholerae</x:v>
      </x:c>
      <x:c r="D153" s="48" t="str">
        <x:v>Growth</x:v>
      </x:c>
      <x:c r="E153" s="48" t="str">
        <x:v>Strict aerobe?</x:v>
      </x:c>
      <x:c r="F153" s="48" t="str">
        <x:v>FALSE</x:v>
      </x:c>
      <x:c r="G153" s="48" t="str">
        <x:v>Oxygen requirement: Facultative Anaerobe.</x:v>
      </x:c>
      <x:c r="H153" s="48" t="str">
        <x:v>Medium</x:v>
      </x:c>
      <x:c r="I153" s="48" t="str">
        <x:v>High</x:v>
      </x:c>
      <x:c r="J153" s="48" t="str">
        <x:v>Bacterial Morphology &amp; Physiology Cantres 2026</x:v>
      </x:c>
      <x:c r="K153" s="48" t="str"/>
      <x:c r="L153" s="48" t="str">
        <x:v>TRUE</x:v>
      </x:c>
      <x:c r="M153" s="48" t="str"/>
      <x:c r="N153" s="54" t="n">
        <x:v>46277</x:v>
      </x:c>
    </x:row>
    <x:row r="154">
      <x:c r="A154" s="48" t="str">
        <x:v>Q0153</x:v>
      </x:c>
      <x:c r="B154" s="48" t="str">
        <x:v>ORG016</x:v>
      </x:c>
      <x:c r="C154" s="48" t="str">
        <x:v>Vibrio cholerae</x:v>
      </x:c>
      <x:c r="D154" s="48" t="str">
        <x:v>Biochemical</x:v>
      </x:c>
      <x:c r="E154" s="48" t="str">
        <x:v>Lactose fermenter?</x:v>
      </x:c>
      <x:c r="F154" s="48" t="str">
        <x:v>FALSE</x:v>
      </x:c>
      <x:c r="G154" s="48" t="str">
        <x:v>Key test profile: Ferments Glucose &amp; Sucrose (Yellow colonies on TCBS agar), Non-lactose fermenter, Grows at high pH (8.5–9.5), Halotolerant (NaCl stimulates growth).</x:v>
      </x:c>
      <x:c r="H154" s="48" t="str">
        <x:v>Medium</x:v>
      </x:c>
      <x:c r="I154" s="48" t="str">
        <x:v>High</x:v>
      </x:c>
      <x:c r="J154" s="48" t="str">
        <x:v>Bacterial Morphology &amp; Physiology Cantres 2026</x:v>
      </x:c>
      <x:c r="K154" s="48" t="str"/>
      <x:c r="L154" s="48" t="str">
        <x:v>TRUE</x:v>
      </x:c>
      <x:c r="M154" s="48" t="str"/>
      <x:c r="N154" s="54" t="n">
        <x:v>46277</x:v>
      </x:c>
    </x:row>
    <x:row r="155">
      <x:c r="A155" s="48" t="str">
        <x:v>Q0154</x:v>
      </x:c>
      <x:c r="B155" s="48" t="str">
        <x:v>ORG017</x:v>
      </x:c>
      <x:c r="C155" s="48" t="str">
        <x:v>Salmonella spp. (S. enterica, S. typhi)</x:v>
      </x:c>
      <x:c r="D155" s="48" t="str">
        <x:v>Morphology</x:v>
      </x:c>
      <x:c r="E155" s="48" t="str">
        <x:v>Gram-positive?</x:v>
      </x:c>
      <x:c r="F155" s="48" t="str">
        <x:v>FALSE</x:v>
      </x:c>
      <x:c r="G155" s="48" t="str">
        <x:v>Salmonella spp. (S. enterica, S. typhi) is listed as Gram-Negative (-).</x:v>
      </x:c>
      <x:c r="H155" s="48" t="str">
        <x:v>Easy</x:v>
      </x:c>
      <x:c r="I155" s="48" t="str">
        <x:v>High</x:v>
      </x:c>
      <x:c r="J155" s="48" t="str">
        <x:v>Bacterial Morphology &amp; Physiology Cantres 2026</x:v>
      </x:c>
      <x:c r="K155" s="48" t="str"/>
      <x:c r="L155" s="48" t="str">
        <x:v>TRUE</x:v>
      </x:c>
      <x:c r="M155" s="48" t="str"/>
      <x:c r="N155" s="54" t="n">
        <x:v>46277</x:v>
      </x:c>
    </x:row>
    <x:row r="156">
      <x:c r="A156" s="48" t="str">
        <x:v>Q0155</x:v>
      </x:c>
      <x:c r="B156" s="48" t="str">
        <x:v>ORG017</x:v>
      </x:c>
      <x:c r="C156" s="48" t="str">
        <x:v>Salmonella spp. (S. enterica, S. typhi)</x:v>
      </x:c>
      <x:c r="D156" s="48" t="str">
        <x:v>Biochemical</x:v>
      </x:c>
      <x:c r="E156" s="48" t="str">
        <x:v>Catalase positive?</x:v>
      </x:c>
      <x:c r="F156" s="48" t="str">
        <x:v>TRUE</x:v>
      </x:c>
      <x:c r="G156" s="48" t="str">
        <x:v>Catalase: Positive (+).</x:v>
      </x:c>
      <x:c r="H156" s="48" t="str">
        <x:v>Easy</x:v>
      </x:c>
      <x:c r="I156" s="48" t="str">
        <x:v>High</x:v>
      </x:c>
      <x:c r="J156" s="48" t="str">
        <x:v>Bacterial Morphology &amp; Physiology Cantres 2026</x:v>
      </x:c>
      <x:c r="K156" s="48" t="str"/>
      <x:c r="L156" s="48" t="str">
        <x:v>TRUE</x:v>
      </x:c>
      <x:c r="M156" s="48" t="str"/>
      <x:c r="N156" s="54" t="n">
        <x:v>46277</x:v>
      </x:c>
    </x:row>
    <x:row r="157">
      <x:c r="A157" s="48" t="str">
        <x:v>Q0156</x:v>
      </x:c>
      <x:c r="B157" s="48" t="str">
        <x:v>ORG017</x:v>
      </x:c>
      <x:c r="C157" s="48" t="str">
        <x:v>Salmonella spp. (S. enterica, S. typhi)</x:v>
      </x:c>
      <x:c r="D157" s="48" t="str">
        <x:v>Biochemical</x:v>
      </x:c>
      <x:c r="E157" s="48" t="str">
        <x:v>Oxidase positive?</x:v>
      </x:c>
      <x:c r="F157" s="48" t="str">
        <x:v>FALSE</x:v>
      </x:c>
      <x:c r="G157" s="48" t="str">
        <x:v>Oxidase: Negative (-).</x:v>
      </x:c>
      <x:c r="H157" s="48" t="str">
        <x:v>Easy</x:v>
      </x:c>
      <x:c r="I157" s="48" t="str">
        <x:v>High</x:v>
      </x:c>
      <x:c r="J157" s="48" t="str">
        <x:v>Bacterial Morphology &amp; Physiology Cantres 2026</x:v>
      </x:c>
      <x:c r="K157" s="48" t="str"/>
      <x:c r="L157" s="48" t="str">
        <x:v>TRUE</x:v>
      </x:c>
      <x:c r="M157" s="48" t="str"/>
      <x:c r="N157" s="54" t="n">
        <x:v>46277</x:v>
      </x:c>
    </x:row>
    <x:row r="158">
      <x:c r="A158" s="48" t="str">
        <x:v>Q0157</x:v>
      </x:c>
      <x:c r="B158" s="48" t="str">
        <x:v>ORG017</x:v>
      </x:c>
      <x:c r="C158" s="48" t="str">
        <x:v>Salmonella spp. (S. enterica, S. typhi)</x:v>
      </x:c>
      <x:c r="D158" s="48" t="str">
        <x:v>Morphology</x:v>
      </x:c>
      <x:c r="E158" s="48" t="str">
        <x:v>Motile?</x:v>
      </x:c>
      <x:c r="F158" s="48" t="str">
        <x:v>TRUE</x:v>
      </x:c>
      <x:c r="G158" s="48" t="str">
        <x:v>Motility: Motile (peritrichous flagella).</x:v>
      </x:c>
      <x:c r="H158" s="48" t="str">
        <x:v>Easy</x:v>
      </x:c>
      <x:c r="I158" s="48" t="str">
        <x:v>High</x:v>
      </x:c>
      <x:c r="J158" s="48" t="str">
        <x:v>Bacterial Morphology &amp; Physiology Cantres 2026</x:v>
      </x:c>
      <x:c r="K158" s="48" t="str"/>
      <x:c r="L158" s="48" t="str">
        <x:v>TRUE</x:v>
      </x:c>
      <x:c r="M158" s="48" t="str"/>
      <x:c r="N158" s="54" t="n">
        <x:v>46277</x:v>
      </x:c>
    </x:row>
    <x:row r="159">
      <x:c r="A159" s="48" t="str">
        <x:v>Q0158</x:v>
      </x:c>
      <x:c r="B159" s="48" t="str">
        <x:v>ORG017</x:v>
      </x:c>
      <x:c r="C159" s="48" t="str">
        <x:v>Salmonella spp. (S. enterica, S. typhi)</x:v>
      </x:c>
      <x:c r="D159" s="48" t="str">
        <x:v>Morphology</x:v>
      </x:c>
      <x:c r="E159" s="48" t="str">
        <x:v>Spore-forming?</x:v>
      </x:c>
      <x:c r="F159" s="48" t="str">
        <x:v>FALSE</x:v>
      </x:c>
      <x:c r="G159" s="48" t="str">
        <x:v>Spore formation: No.</x:v>
      </x:c>
      <x:c r="H159" s="48" t="str">
        <x:v>Easy</x:v>
      </x:c>
      <x:c r="I159" s="48" t="str">
        <x:v>High</x:v>
      </x:c>
      <x:c r="J159" s="48" t="str">
        <x:v>Bacterial Morphology &amp; Physiology Cantres 2026</x:v>
      </x:c>
      <x:c r="K159" s="48" t="str"/>
      <x:c r="L159" s="48" t="str">
        <x:v>TRUE</x:v>
      </x:c>
      <x:c r="M159" s="48" t="str"/>
      <x:c r="N159" s="54" t="n">
        <x:v>46277</x:v>
      </x:c>
    </x:row>
    <x:row r="160">
      <x:c r="A160" s="48" t="str">
        <x:v>Q0159</x:v>
      </x:c>
      <x:c r="B160" s="48" t="str">
        <x:v>ORG017</x:v>
      </x:c>
      <x:c r="C160" s="48" t="str">
        <x:v>Salmonella spp. (S. enterica, S. typhi)</x:v>
      </x:c>
      <x:c r="D160" s="48" t="str">
        <x:v>Growth</x:v>
      </x:c>
      <x:c r="E160" s="48" t="str">
        <x:v>Facultative anaerobe?</x:v>
      </x:c>
      <x:c r="F160" s="48" t="str">
        <x:v>TRUE</x:v>
      </x:c>
      <x:c r="G160" s="48" t="str">
        <x:v>Oxygen requirement: Facultative Anaerobe.</x:v>
      </x:c>
      <x:c r="H160" s="48" t="str">
        <x:v>Medium</x:v>
      </x:c>
      <x:c r="I160" s="48" t="str">
        <x:v>High</x:v>
      </x:c>
      <x:c r="J160" s="48" t="str">
        <x:v>Bacterial Morphology &amp; Physiology Cantres 2026</x:v>
      </x:c>
      <x:c r="K160" s="48" t="str"/>
      <x:c r="L160" s="48" t="str">
        <x:v>TRUE</x:v>
      </x:c>
      <x:c r="M160" s="48" t="str"/>
      <x:c r="N160" s="54" t="n">
        <x:v>46277</x:v>
      </x:c>
    </x:row>
    <x:row r="161">
      <x:c r="A161" s="48" t="str">
        <x:v>Q0160</x:v>
      </x:c>
      <x:c r="B161" s="48" t="str">
        <x:v>ORG017</x:v>
      </x:c>
      <x:c r="C161" s="48" t="str">
        <x:v>Salmonella spp. (S. enterica, S. typhi)</x:v>
      </x:c>
      <x:c r="D161" s="48" t="str">
        <x:v>Growth</x:v>
      </x:c>
      <x:c r="E161" s="48" t="str">
        <x:v>Strict aerobe?</x:v>
      </x:c>
      <x:c r="F161" s="48" t="str">
        <x:v>FALSE</x:v>
      </x:c>
      <x:c r="G161" s="48" t="str">
        <x:v>Oxygen requirement: Facultative Anaerobe.</x:v>
      </x:c>
      <x:c r="H161" s="48" t="str">
        <x:v>Medium</x:v>
      </x:c>
      <x:c r="I161" s="48" t="str">
        <x:v>High</x:v>
      </x:c>
      <x:c r="J161" s="48" t="str">
        <x:v>Bacterial Morphology &amp; Physiology Cantres 2026</x:v>
      </x:c>
      <x:c r="K161" s="48" t="str"/>
      <x:c r="L161" s="48" t="str">
        <x:v>TRUE</x:v>
      </x:c>
      <x:c r="M161" s="48" t="str"/>
      <x:c r="N161" s="54" t="n">
        <x:v>46277</x:v>
      </x:c>
    </x:row>
    <x:row r="162">
      <x:c r="A162" s="48" t="str">
        <x:v>Q0161</x:v>
      </x:c>
      <x:c r="B162" s="48" t="str">
        <x:v>ORG017</x:v>
      </x:c>
      <x:c r="C162" s="48" t="str">
        <x:v>Salmonella spp. (S. enterica, S. typhi)</x:v>
      </x:c>
      <x:c r="D162" s="48" t="str">
        <x:v>Growth</x:v>
      </x:c>
      <x:c r="E162" s="48" t="str">
        <x:v>Beta-hemolytic?</x:v>
      </x:c>
      <x:c r="F162" s="48" t="str">
        <x:v>FALSE</x:v>
      </x:c>
      <x:c r="G162" s="48" t="str">
        <x:v>Hemolysis: Non-hemolytic.</x:v>
      </x:c>
      <x:c r="H162" s="48" t="str">
        <x:v>Medium</x:v>
      </x:c>
      <x:c r="I162" s="48" t="str">
        <x:v>High</x:v>
      </x:c>
      <x:c r="J162" s="48" t="str">
        <x:v>Bacterial Morphology &amp; Physiology Cantres 2026</x:v>
      </x:c>
      <x:c r="K162" s="48" t="str"/>
      <x:c r="L162" s="48" t="str">
        <x:v>TRUE</x:v>
      </x:c>
      <x:c r="M162" s="48" t="str"/>
      <x:c r="N162" s="54" t="n">
        <x:v>46277</x:v>
      </x:c>
    </x:row>
    <x:row r="163">
      <x:c r="A163" s="48" t="str">
        <x:v>Q0162</x:v>
      </x:c>
      <x:c r="B163" s="48" t="str">
        <x:v>ORG017</x:v>
      </x:c>
      <x:c r="C163" s="48" t="str">
        <x:v>Salmonella spp. (S. enterica, S. typhi)</x:v>
      </x:c>
      <x:c r="D163" s="48" t="str">
        <x:v>Biochemical</x:v>
      </x:c>
      <x:c r="E163" s="48" t="str">
        <x:v>Lactose fermenter?</x:v>
      </x:c>
      <x:c r="F163" s="48" t="str">
        <x:v>FALSE</x:v>
      </x:c>
      <x:c r="G163" s="48" t="str">
        <x:v>Key test profile: Lactose non-fermenter (colorless on MAC), H2S positive (+) (black centers on TSI/Hektoen agar), Citrate (+), Indole (-).</x:v>
      </x:c>
      <x:c r="H163" s="48" t="str">
        <x:v>Medium</x:v>
      </x:c>
      <x:c r="I163" s="48" t="str">
        <x:v>High</x:v>
      </x:c>
      <x:c r="J163" s="48" t="str">
        <x:v>Bacterial Morphology &amp; Physiology Cantres 2026</x:v>
      </x:c>
      <x:c r="K163" s="48" t="str"/>
      <x:c r="L163" s="48" t="str">
        <x:v>TRUE</x:v>
      </x:c>
      <x:c r="M163" s="48" t="str"/>
      <x:c r="N163" s="54" t="n">
        <x:v>46277</x:v>
      </x:c>
    </x:row>
    <x:row r="164">
      <x:c r="A164" s="48" t="str">
        <x:v>Q0163</x:v>
      </x:c>
      <x:c r="B164" s="48" t="str">
        <x:v>ORG017</x:v>
      </x:c>
      <x:c r="C164" s="48" t="str">
        <x:v>Salmonella spp. (S. enterica, S. typhi)</x:v>
      </x:c>
      <x:c r="D164" s="48" t="str">
        <x:v>Biochemical</x:v>
      </x:c>
      <x:c r="E164" s="48" t="str">
        <x:v>Indole positive?</x:v>
      </x:c>
      <x:c r="F164" s="48" t="str">
        <x:v>FALSE</x:v>
      </x:c>
      <x:c r="G164" s="48" t="str">
        <x:v>Key test profile: Lactose non-fermenter (colorless on MAC), H2S positive (+) (black centers on TSI/Hektoen agar), Citrate (+), Indole (-).</x:v>
      </x:c>
      <x:c r="H164" s="48" t="str">
        <x:v>Medium</x:v>
      </x:c>
      <x:c r="I164" s="48" t="str">
        <x:v>High</x:v>
      </x:c>
      <x:c r="J164" s="48" t="str">
        <x:v>Bacterial Morphology &amp; Physiology Cantres 2026</x:v>
      </x:c>
      <x:c r="K164" s="48" t="str"/>
      <x:c r="L164" s="48" t="str">
        <x:v>TRUE</x:v>
      </x:c>
      <x:c r="M164" s="48" t="str"/>
      <x:c r="N164" s="54" t="n">
        <x:v>46277</x:v>
      </x:c>
    </x:row>
    <x:row r="165">
      <x:c r="A165" s="48" t="str">
        <x:v>Q0164</x:v>
      </x:c>
      <x:c r="B165" s="48" t="str">
        <x:v>ORG017</x:v>
      </x:c>
      <x:c r="C165" s="48" t="str">
        <x:v>Salmonella spp. (S. enterica, S. typhi)</x:v>
      </x:c>
      <x:c r="D165" s="48" t="str">
        <x:v>Biochemical</x:v>
      </x:c>
      <x:c r="E165" s="48" t="str">
        <x:v>H2S positive?</x:v>
      </x:c>
      <x:c r="F165" s="48" t="str">
        <x:v>TRUE</x:v>
      </x:c>
      <x:c r="G165" s="48" t="str">
        <x:v>Key test profile: Lactose non-fermenter (colorless on MAC), H2S positive (+) (black centers on TSI/Hektoen agar), Citrate (+), Indole (-).</x:v>
      </x:c>
      <x:c r="H165" s="48" t="str">
        <x:v>Medium</x:v>
      </x:c>
      <x:c r="I165" s="48" t="str">
        <x:v>High</x:v>
      </x:c>
      <x:c r="J165" s="48" t="str">
        <x:v>Bacterial Morphology &amp; Physiology Cantres 2026</x:v>
      </x:c>
      <x:c r="K165" s="48" t="str"/>
      <x:c r="L165" s="48" t="str">
        <x:v>TRUE</x:v>
      </x:c>
      <x:c r="M165" s="48" t="str"/>
      <x:c r="N165" s="54" t="n">
        <x:v>46277</x:v>
      </x:c>
    </x:row>
    <x:row r="166">
      <x:c r="A166" s="48" t="str">
        <x:v>Q0165</x:v>
      </x:c>
      <x:c r="B166" s="48" t="str">
        <x:v>ORG017</x:v>
      </x:c>
      <x:c r="C166" s="48" t="str">
        <x:v>Salmonella spp. (S. enterica, S. typhi)</x:v>
      </x:c>
      <x:c r="D166" s="48" t="str">
        <x:v>Biochemical</x:v>
      </x:c>
      <x:c r="E166" s="48" t="str">
        <x:v>Citrate positive?</x:v>
      </x:c>
      <x:c r="F166" s="48" t="str">
        <x:v>TRUE</x:v>
      </x:c>
      <x:c r="G166" s="48" t="str">
        <x:v>Key test profile: Lactose non-fermenter (colorless on MAC), H2S positive (+) (black centers on TSI/Hektoen agar), Citrate (+), Indole (-).</x:v>
      </x:c>
      <x:c r="H166" s="48" t="str">
        <x:v>Medium</x:v>
      </x:c>
      <x:c r="I166" s="48" t="str">
        <x:v>High</x:v>
      </x:c>
      <x:c r="J166" s="48" t="str">
        <x:v>Bacterial Morphology &amp; Physiology Cantres 2026</x:v>
      </x:c>
      <x:c r="K166" s="48" t="str"/>
      <x:c r="L166" s="48" t="str">
        <x:v>TRUE</x:v>
      </x:c>
      <x:c r="M166" s="48" t="str"/>
      <x:c r="N166" s="54" t="n">
        <x:v>46277</x:v>
      </x:c>
    </x:row>
    <x:row r="167">
      <x:c r="A167" s="48" t="str">
        <x:v>Q0166</x:v>
      </x:c>
      <x:c r="B167" s="48" t="str">
        <x:v>ORG018</x:v>
      </x:c>
      <x:c r="C167" s="48" t="str">
        <x:v>Shigella spp. (S. dysenteriae, S. flexneri, S. sonnei)</x:v>
      </x:c>
      <x:c r="D167" s="48" t="str">
        <x:v>Morphology</x:v>
      </x:c>
      <x:c r="E167" s="48" t="str">
        <x:v>Gram-positive?</x:v>
      </x:c>
      <x:c r="F167" s="48" t="str">
        <x:v>FALSE</x:v>
      </x:c>
      <x:c r="G167" s="48" t="str">
        <x:v>Shigella spp. (S. dysenteriae, S. flexneri, S. sonnei) is listed as Gram-Negative (-).</x:v>
      </x:c>
      <x:c r="H167" s="48" t="str">
        <x:v>Easy</x:v>
      </x:c>
      <x:c r="I167" s="48" t="str">
        <x:v>High</x:v>
      </x:c>
      <x:c r="J167" s="48" t="str">
        <x:v>Bacterial Morphology &amp; Physiology Cantres 2026</x:v>
      </x:c>
      <x:c r="K167" s="48" t="str"/>
      <x:c r="L167" s="48" t="str">
        <x:v>TRUE</x:v>
      </x:c>
      <x:c r="M167" s="48" t="str"/>
      <x:c r="N167" s="54" t="n">
        <x:v>46277</x:v>
      </x:c>
    </x:row>
    <x:row r="168">
      <x:c r="A168" s="48" t="str">
        <x:v>Q0167</x:v>
      </x:c>
      <x:c r="B168" s="48" t="str">
        <x:v>ORG018</x:v>
      </x:c>
      <x:c r="C168" s="48" t="str">
        <x:v>Shigella spp. (S. dysenteriae, S. flexneri, S. sonnei)</x:v>
      </x:c>
      <x:c r="D168" s="48" t="str">
        <x:v>Biochemical</x:v>
      </x:c>
      <x:c r="E168" s="48" t="str">
        <x:v>Catalase positive?</x:v>
      </x:c>
      <x:c r="F168" s="48" t="str">
        <x:v>TRUE</x:v>
      </x:c>
      <x:c r="G168" s="48" t="str">
        <x:v>Catalase: Positive (+).</x:v>
      </x:c>
      <x:c r="H168" s="48" t="str">
        <x:v>Easy</x:v>
      </x:c>
      <x:c r="I168" s="48" t="str">
        <x:v>High</x:v>
      </x:c>
      <x:c r="J168" s="48" t="str">
        <x:v>Bacterial Morphology &amp; Physiology Cantres 2026</x:v>
      </x:c>
      <x:c r="K168" s="48" t="str"/>
      <x:c r="L168" s="48" t="str">
        <x:v>TRUE</x:v>
      </x:c>
      <x:c r="M168" s="48" t="str"/>
      <x:c r="N168" s="54" t="n">
        <x:v>46277</x:v>
      </x:c>
    </x:row>
    <x:row r="169">
      <x:c r="A169" s="48" t="str">
        <x:v>Q0168</x:v>
      </x:c>
      <x:c r="B169" s="48" t="str">
        <x:v>ORG018</x:v>
      </x:c>
      <x:c r="C169" s="48" t="str">
        <x:v>Shigella spp. (S. dysenteriae, S. flexneri, S. sonnei)</x:v>
      </x:c>
      <x:c r="D169" s="48" t="str">
        <x:v>Biochemical</x:v>
      </x:c>
      <x:c r="E169" s="48" t="str">
        <x:v>Oxidase positive?</x:v>
      </x:c>
      <x:c r="F169" s="48" t="str">
        <x:v>FALSE</x:v>
      </x:c>
      <x:c r="G169" s="48" t="str">
        <x:v>Oxidase: Negative (-).</x:v>
      </x:c>
      <x:c r="H169" s="48" t="str">
        <x:v>Easy</x:v>
      </x:c>
      <x:c r="I169" s="48" t="str">
        <x:v>High</x:v>
      </x:c>
      <x:c r="J169" s="48" t="str">
        <x:v>Bacterial Morphology &amp; Physiology Cantres 2026</x:v>
      </x:c>
      <x:c r="K169" s="48" t="str"/>
      <x:c r="L169" s="48" t="str">
        <x:v>TRUE</x:v>
      </x:c>
      <x:c r="M169" s="48" t="str"/>
      <x:c r="N169" s="54" t="n">
        <x:v>46277</x:v>
      </x:c>
    </x:row>
    <x:row r="170">
      <x:c r="A170" s="48" t="str">
        <x:v>Q0169</x:v>
      </x:c>
      <x:c r="B170" s="48" t="str">
        <x:v>ORG018</x:v>
      </x:c>
      <x:c r="C170" s="48" t="str">
        <x:v>Shigella spp. (S. dysenteriae, S. flexneri, S. sonnei)</x:v>
      </x:c>
      <x:c r="D170" s="48" t="str">
        <x:v>Morphology</x:v>
      </x:c>
      <x:c r="E170" s="48" t="str">
        <x:v>Motile?</x:v>
      </x:c>
      <x:c r="F170" s="48" t="str">
        <x:v>FALSE</x:v>
      </x:c>
      <x:c r="G170" s="48" t="str">
        <x:v>Motility: Non-motile (-).</x:v>
      </x:c>
      <x:c r="H170" s="48" t="str">
        <x:v>Easy</x:v>
      </x:c>
      <x:c r="I170" s="48" t="str">
        <x:v>High</x:v>
      </x:c>
      <x:c r="J170" s="48" t="str">
        <x:v>Bacterial Morphology &amp; Physiology Cantres 2026</x:v>
      </x:c>
      <x:c r="K170" s="48" t="str"/>
      <x:c r="L170" s="48" t="str">
        <x:v>TRUE</x:v>
      </x:c>
      <x:c r="M170" s="48" t="str"/>
      <x:c r="N170" s="54" t="n">
        <x:v>46277</x:v>
      </x:c>
    </x:row>
    <x:row r="171">
      <x:c r="A171" s="48" t="str">
        <x:v>Q0170</x:v>
      </x:c>
      <x:c r="B171" s="48" t="str">
        <x:v>ORG018</x:v>
      </x:c>
      <x:c r="C171" s="48" t="str">
        <x:v>Shigella spp. (S. dysenteriae, S. flexneri, S. sonnei)</x:v>
      </x:c>
      <x:c r="D171" s="48" t="str">
        <x:v>Morphology</x:v>
      </x:c>
      <x:c r="E171" s="48" t="str">
        <x:v>Spore-forming?</x:v>
      </x:c>
      <x:c r="F171" s="48" t="str">
        <x:v>FALSE</x:v>
      </x:c>
      <x:c r="G171" s="48" t="str">
        <x:v>Spore formation: No.</x:v>
      </x:c>
      <x:c r="H171" s="48" t="str">
        <x:v>Easy</x:v>
      </x:c>
      <x:c r="I171" s="48" t="str">
        <x:v>High</x:v>
      </x:c>
      <x:c r="J171" s="48" t="str">
        <x:v>Bacterial Morphology &amp; Physiology Cantres 2026</x:v>
      </x:c>
      <x:c r="K171" s="48" t="str"/>
      <x:c r="L171" s="48" t="str">
        <x:v>TRUE</x:v>
      </x:c>
      <x:c r="M171" s="48" t="str"/>
      <x:c r="N171" s="54" t="n">
        <x:v>46277</x:v>
      </x:c>
    </x:row>
    <x:row r="172">
      <x:c r="A172" s="48" t="str">
        <x:v>Q0171</x:v>
      </x:c>
      <x:c r="B172" s="48" t="str">
        <x:v>ORG018</x:v>
      </x:c>
      <x:c r="C172" s="48" t="str">
        <x:v>Shigella spp. (S. dysenteriae, S. flexneri, S. sonnei)</x:v>
      </x:c>
      <x:c r="D172" s="48" t="str">
        <x:v>Growth</x:v>
      </x:c>
      <x:c r="E172" s="48" t="str">
        <x:v>Facultative anaerobe?</x:v>
      </x:c>
      <x:c r="F172" s="48" t="str">
        <x:v>TRUE</x:v>
      </x:c>
      <x:c r="G172" s="48" t="str">
        <x:v>Oxygen requirement: Facultative Anaerobe.</x:v>
      </x:c>
      <x:c r="H172" s="48" t="str">
        <x:v>Medium</x:v>
      </x:c>
      <x:c r="I172" s="48" t="str">
        <x:v>High</x:v>
      </x:c>
      <x:c r="J172" s="48" t="str">
        <x:v>Bacterial Morphology &amp; Physiology Cantres 2026</x:v>
      </x:c>
      <x:c r="K172" s="48" t="str"/>
      <x:c r="L172" s="48" t="str">
        <x:v>TRUE</x:v>
      </x:c>
      <x:c r="M172" s="48" t="str"/>
      <x:c r="N172" s="54" t="n">
        <x:v>46277</x:v>
      </x:c>
    </x:row>
    <x:row r="173">
      <x:c r="A173" s="48" t="str">
        <x:v>Q0172</x:v>
      </x:c>
      <x:c r="B173" s="48" t="str">
        <x:v>ORG018</x:v>
      </x:c>
      <x:c r="C173" s="48" t="str">
        <x:v>Shigella spp. (S. dysenteriae, S. flexneri, S. sonnei)</x:v>
      </x:c>
      <x:c r="D173" s="48" t="str">
        <x:v>Growth</x:v>
      </x:c>
      <x:c r="E173" s="48" t="str">
        <x:v>Strict aerobe?</x:v>
      </x:c>
      <x:c r="F173" s="48" t="str">
        <x:v>FALSE</x:v>
      </x:c>
      <x:c r="G173" s="48" t="str">
        <x:v>Oxygen requirement: Facultative Anaerobe.</x:v>
      </x:c>
      <x:c r="H173" s="48" t="str">
        <x:v>Medium</x:v>
      </x:c>
      <x:c r="I173" s="48" t="str">
        <x:v>High</x:v>
      </x:c>
      <x:c r="J173" s="48" t="str">
        <x:v>Bacterial Morphology &amp; Physiology Cantres 2026</x:v>
      </x:c>
      <x:c r="K173" s="48" t="str"/>
      <x:c r="L173" s="48" t="str">
        <x:v>TRUE</x:v>
      </x:c>
      <x:c r="M173" s="48" t="str"/>
      <x:c r="N173" s="54" t="n">
        <x:v>46277</x:v>
      </x:c>
    </x:row>
    <x:row r="174">
      <x:c r="A174" s="48" t="str">
        <x:v>Q0173</x:v>
      </x:c>
      <x:c r="B174" s="48" t="str">
        <x:v>ORG018</x:v>
      </x:c>
      <x:c r="C174" s="48" t="str">
        <x:v>Shigella spp. (S. dysenteriae, S. flexneri, S. sonnei)</x:v>
      </x:c>
      <x:c r="D174" s="48" t="str">
        <x:v>Growth</x:v>
      </x:c>
      <x:c r="E174" s="48" t="str">
        <x:v>Beta-hemolytic?</x:v>
      </x:c>
      <x:c r="F174" s="48" t="str">
        <x:v>FALSE</x:v>
      </x:c>
      <x:c r="G174" s="48" t="str">
        <x:v>Hemolysis: Non-hemolytic.</x:v>
      </x:c>
      <x:c r="H174" s="48" t="str">
        <x:v>Medium</x:v>
      </x:c>
      <x:c r="I174" s="48" t="str">
        <x:v>High</x:v>
      </x:c>
      <x:c r="J174" s="48" t="str">
        <x:v>Bacterial Morphology &amp; Physiology Cantres 2026</x:v>
      </x:c>
      <x:c r="K174" s="48" t="str"/>
      <x:c r="L174" s="48" t="str">
        <x:v>TRUE</x:v>
      </x:c>
      <x:c r="M174" s="48" t="str"/>
      <x:c r="N174" s="54" t="n">
        <x:v>46277</x:v>
      </x:c>
    </x:row>
    <x:row r="175">
      <x:c r="A175" s="48" t="str">
        <x:v>Q0174</x:v>
      </x:c>
      <x:c r="B175" s="48" t="str">
        <x:v>ORG018</x:v>
      </x:c>
      <x:c r="C175" s="48" t="str">
        <x:v>Shigella spp. (S. dysenteriae, S. flexneri, S. sonnei)</x:v>
      </x:c>
      <x:c r="D175" s="48" t="str">
        <x:v>Biochemical</x:v>
      </x:c>
      <x:c r="E175" s="48" t="str">
        <x:v>Lactose fermenter?</x:v>
      </x:c>
      <x:c r="F175" s="48" t="str">
        <x:v>FALSE</x:v>
      </x:c>
      <x:c r="G175" s="48" t="str">
        <x:v>Key test profile: Lactose non-fermenter (colorless on MAC; S. sonnei late fermenter), H2S negative (-), Indole variable.</x:v>
      </x:c>
      <x:c r="H175" s="48" t="str">
        <x:v>Medium</x:v>
      </x:c>
      <x:c r="I175" s="48" t="str">
        <x:v>High</x:v>
      </x:c>
      <x:c r="J175" s="48" t="str">
        <x:v>Bacterial Morphology &amp; Physiology Cantres 2026</x:v>
      </x:c>
      <x:c r="K175" s="48" t="str"/>
      <x:c r="L175" s="48" t="str">
        <x:v>TRUE</x:v>
      </x:c>
      <x:c r="M175" s="48" t="str"/>
      <x:c r="N175" s="54" t="n">
        <x:v>46277</x:v>
      </x:c>
    </x:row>
    <x:row r="176">
      <x:c r="A176" s="48" t="str">
        <x:v>Q0175</x:v>
      </x:c>
      <x:c r="B176" s="48" t="str">
        <x:v>ORG018</x:v>
      </x:c>
      <x:c r="C176" s="48" t="str">
        <x:v>Shigella spp. (S. dysenteriae, S. flexneri, S. sonnei)</x:v>
      </x:c>
      <x:c r="D176" s="48" t="str">
        <x:v>Biochemical</x:v>
      </x:c>
      <x:c r="E176" s="48" t="str">
        <x:v>H2S positive?</x:v>
      </x:c>
      <x:c r="F176" s="48" t="str">
        <x:v>FALSE</x:v>
      </x:c>
      <x:c r="G176" s="48" t="str">
        <x:v>Key test profile: Lactose non-fermenter (colorless on MAC; S. sonnei late fermenter), H2S negative (-), Indole variable.</x:v>
      </x:c>
      <x:c r="H176" s="48" t="str">
        <x:v>Medium</x:v>
      </x:c>
      <x:c r="I176" s="48" t="str">
        <x:v>High</x:v>
      </x:c>
      <x:c r="J176" s="48" t="str">
        <x:v>Bacterial Morphology &amp; Physiology Cantres 2026</x:v>
      </x:c>
      <x:c r="K176" s="48" t="str"/>
      <x:c r="L176" s="48" t="str">
        <x:v>TRUE</x:v>
      </x:c>
      <x:c r="M176" s="48" t="str"/>
      <x:c r="N176" s="54" t="n">
        <x:v>46277</x:v>
      </x:c>
    </x:row>
    <x:row r="177">
      <x:c r="A177" s="48" t="str">
        <x:v>Q0176</x:v>
      </x:c>
      <x:c r="B177" s="48" t="str">
        <x:v>ORG019</x:v>
      </x:c>
      <x:c r="C177" s="48" t="str">
        <x:v>Campylobacter jejuni</x:v>
      </x:c>
      <x:c r="D177" s="48" t="str">
        <x:v>Morphology</x:v>
      </x:c>
      <x:c r="E177" s="48" t="str">
        <x:v>Gram-positive?</x:v>
      </x:c>
      <x:c r="F177" s="48" t="str">
        <x:v>FALSE</x:v>
      </x:c>
      <x:c r="G177" s="48" t="str">
        <x:v>Campylobacter jejuni is listed as Gram-Negative (-).</x:v>
      </x:c>
      <x:c r="H177" s="48" t="str">
        <x:v>Easy</x:v>
      </x:c>
      <x:c r="I177" s="48" t="str">
        <x:v>High</x:v>
      </x:c>
      <x:c r="J177" s="48" t="str">
        <x:v>Bacterial Morphology &amp; Physiology Cantres 2026</x:v>
      </x:c>
      <x:c r="K177" s="48" t="str"/>
      <x:c r="L177" s="48" t="str">
        <x:v>TRUE</x:v>
      </x:c>
      <x:c r="M177" s="48" t="str"/>
      <x:c r="N177" s="54" t="n">
        <x:v>46277</x:v>
      </x:c>
    </x:row>
    <x:row r="178">
      <x:c r="A178" s="48" t="str">
        <x:v>Q0177</x:v>
      </x:c>
      <x:c r="B178" s="48" t="str">
        <x:v>ORG019</x:v>
      </x:c>
      <x:c r="C178" s="48" t="str">
        <x:v>Campylobacter jejuni</x:v>
      </x:c>
      <x:c r="D178" s="48" t="str">
        <x:v>Biochemical</x:v>
      </x:c>
      <x:c r="E178" s="48" t="str">
        <x:v>Catalase positive?</x:v>
      </x:c>
      <x:c r="F178" s="48" t="str">
        <x:v>TRUE</x:v>
      </x:c>
      <x:c r="G178" s="48" t="str">
        <x:v>Catalase: Positive (+).</x:v>
      </x:c>
      <x:c r="H178" s="48" t="str">
        <x:v>Easy</x:v>
      </x:c>
      <x:c r="I178" s="48" t="str">
        <x:v>High</x:v>
      </x:c>
      <x:c r="J178" s="48" t="str">
        <x:v>Bacterial Morphology &amp; Physiology Cantres 2026</x:v>
      </x:c>
      <x:c r="K178" s="48" t="str"/>
      <x:c r="L178" s="48" t="str">
        <x:v>TRUE</x:v>
      </x:c>
      <x:c r="M178" s="48" t="str"/>
      <x:c r="N178" s="54" t="n">
        <x:v>46277</x:v>
      </x:c>
    </x:row>
    <x:row r="179">
      <x:c r="A179" s="48" t="str">
        <x:v>Q0178</x:v>
      </x:c>
      <x:c r="B179" s="48" t="str">
        <x:v>ORG019</x:v>
      </x:c>
      <x:c r="C179" s="48" t="str">
        <x:v>Campylobacter jejuni</x:v>
      </x:c>
      <x:c r="D179" s="48" t="str">
        <x:v>Biochemical</x:v>
      </x:c>
      <x:c r="E179" s="48" t="str">
        <x:v>Oxidase positive?</x:v>
      </x:c>
      <x:c r="F179" s="48" t="str">
        <x:v>TRUE</x:v>
      </x:c>
      <x:c r="G179" s="48" t="str">
        <x:v>Oxidase: Positive (+).</x:v>
      </x:c>
      <x:c r="H179" s="48" t="str">
        <x:v>Easy</x:v>
      </x:c>
      <x:c r="I179" s="48" t="str">
        <x:v>High</x:v>
      </x:c>
      <x:c r="J179" s="48" t="str">
        <x:v>Bacterial Morphology &amp; Physiology Cantres 2026</x:v>
      </x:c>
      <x:c r="K179" s="48" t="str"/>
      <x:c r="L179" s="48" t="str">
        <x:v>TRUE</x:v>
      </x:c>
      <x:c r="M179" s="48" t="str"/>
      <x:c r="N179" s="54" t="n">
        <x:v>46277</x:v>
      </x:c>
    </x:row>
    <x:row r="180">
      <x:c r="A180" s="48" t="str">
        <x:v>Q0179</x:v>
      </x:c>
      <x:c r="B180" s="48" t="str">
        <x:v>ORG019</x:v>
      </x:c>
      <x:c r="C180" s="48" t="str">
        <x:v>Campylobacter jejuni</x:v>
      </x:c>
      <x:c r="D180" s="48" t="str">
        <x:v>Morphology</x:v>
      </x:c>
      <x:c r="E180" s="48" t="str">
        <x:v>Motile?</x:v>
      </x:c>
      <x:c r="F180" s="48" t="str">
        <x:v>TRUE</x:v>
      </x:c>
      <x:c r="G180" s="48" t="str">
        <x:v>Motility: Motile (single polar flagellum, corkscrew motility).</x:v>
      </x:c>
      <x:c r="H180" s="48" t="str">
        <x:v>Easy</x:v>
      </x:c>
      <x:c r="I180" s="48" t="str">
        <x:v>High</x:v>
      </x:c>
      <x:c r="J180" s="48" t="str">
        <x:v>Bacterial Morphology &amp; Physiology Cantres 2026</x:v>
      </x:c>
      <x:c r="K180" s="48" t="str"/>
      <x:c r="L180" s="48" t="str">
        <x:v>TRUE</x:v>
      </x:c>
      <x:c r="M180" s="48" t="str"/>
      <x:c r="N180" s="54" t="n">
        <x:v>46277</x:v>
      </x:c>
    </x:row>
    <x:row r="181">
      <x:c r="A181" s="48" t="str">
        <x:v>Q0180</x:v>
      </x:c>
      <x:c r="B181" s="48" t="str">
        <x:v>ORG019</x:v>
      </x:c>
      <x:c r="C181" s="48" t="str">
        <x:v>Campylobacter jejuni</x:v>
      </x:c>
      <x:c r="D181" s="48" t="str">
        <x:v>Morphology</x:v>
      </x:c>
      <x:c r="E181" s="48" t="str">
        <x:v>Spore-forming?</x:v>
      </x:c>
      <x:c r="F181" s="48" t="str">
        <x:v>FALSE</x:v>
      </x:c>
      <x:c r="G181" s="48" t="str">
        <x:v>Spore formation: No.</x:v>
      </x:c>
      <x:c r="H181" s="48" t="str">
        <x:v>Easy</x:v>
      </x:c>
      <x:c r="I181" s="48" t="str">
        <x:v>High</x:v>
      </x:c>
      <x:c r="J181" s="48" t="str">
        <x:v>Bacterial Morphology &amp; Physiology Cantres 2026</x:v>
      </x:c>
      <x:c r="K181" s="48" t="str"/>
      <x:c r="L181" s="48" t="str">
        <x:v>TRUE</x:v>
      </x:c>
      <x:c r="M181" s="48" t="str"/>
      <x:c r="N181" s="54" t="n">
        <x:v>46277</x:v>
      </x:c>
    </x:row>
    <x:row r="182">
      <x:c r="A182" s="48" t="str">
        <x:v>Q0181</x:v>
      </x:c>
      <x:c r="B182" s="48" t="str">
        <x:v>ORG019</x:v>
      </x:c>
      <x:c r="C182" s="48" t="str">
        <x:v>Campylobacter jejuni</x:v>
      </x:c>
      <x:c r="D182" s="48" t="str">
        <x:v>Growth</x:v>
      </x:c>
      <x:c r="E182" s="48" t="str">
        <x:v>Facultative anaerobe?</x:v>
      </x:c>
      <x:c r="F182" s="48" t="str">
        <x:v>FALSE</x:v>
      </x:c>
      <x:c r="G182" s="48" t="str">
        <x:v>Oxygen requirement: Microaerophilic (requires 5% O2, 10% CO2).</x:v>
      </x:c>
      <x:c r="H182" s="48" t="str">
        <x:v>Medium</x:v>
      </x:c>
      <x:c r="I182" s="48" t="str">
        <x:v>High</x:v>
      </x:c>
      <x:c r="J182" s="48" t="str">
        <x:v>Bacterial Morphology &amp; Physiology Cantres 2026</x:v>
      </x:c>
      <x:c r="K182" s="48" t="str"/>
      <x:c r="L182" s="48" t="str">
        <x:v>TRUE</x:v>
      </x:c>
      <x:c r="M182" s="48" t="str"/>
      <x:c r="N182" s="54" t="n">
        <x:v>46277</x:v>
      </x:c>
    </x:row>
    <x:row r="183">
      <x:c r="A183" s="48" t="str">
        <x:v>Q0182</x:v>
      </x:c>
      <x:c r="B183" s="48" t="str">
        <x:v>ORG019</x:v>
      </x:c>
      <x:c r="C183" s="48" t="str">
        <x:v>Campylobacter jejuni</x:v>
      </x:c>
      <x:c r="D183" s="48" t="str">
        <x:v>Growth</x:v>
      </x:c>
      <x:c r="E183" s="48" t="str">
        <x:v>Strict aerobe?</x:v>
      </x:c>
      <x:c r="F183" s="48" t="str">
        <x:v>FALSE</x:v>
      </x:c>
      <x:c r="G183" s="48" t="str">
        <x:v>Oxygen requirement: Microaerophilic (requires 5% O2, 10% CO2).</x:v>
      </x:c>
      <x:c r="H183" s="48" t="str">
        <x:v>Medium</x:v>
      </x:c>
      <x:c r="I183" s="48" t="str">
        <x:v>High</x:v>
      </x:c>
      <x:c r="J183" s="48" t="str">
        <x:v>Bacterial Morphology &amp; Physiology Cantres 2026</x:v>
      </x:c>
      <x:c r="K183" s="48" t="str"/>
      <x:c r="L183" s="48" t="str">
        <x:v>TRUE</x:v>
      </x:c>
      <x:c r="M183" s="48" t="str"/>
      <x:c r="N183" s="54" t="n">
        <x:v>46277</x:v>
      </x:c>
    </x:row>
    <x:row r="184">
      <x:c r="A184" s="48" t="str">
        <x:v>Q0183</x:v>
      </x:c>
      <x:c r="B184" s="48" t="str">
        <x:v>ORG019</x:v>
      </x:c>
      <x:c r="C184" s="48" t="str">
        <x:v>Campylobacter jejuni</x:v>
      </x:c>
      <x:c r="D184" s="48" t="str">
        <x:v>Growth</x:v>
      </x:c>
      <x:c r="E184" s="48" t="str">
        <x:v>Microaerophilic?</x:v>
      </x:c>
      <x:c r="F184" s="48" t="str">
        <x:v>TRUE</x:v>
      </x:c>
      <x:c r="G184" s="48" t="str">
        <x:v>Oxygen requirement: Microaerophilic (requires 5% O2, 10% CO2).</x:v>
      </x:c>
      <x:c r="H184" s="48" t="str">
        <x:v>Medium</x:v>
      </x:c>
      <x:c r="I184" s="48" t="str">
        <x:v>High</x:v>
      </x:c>
      <x:c r="J184" s="48" t="str">
        <x:v>Bacterial Morphology &amp; Physiology Cantres 2026</x:v>
      </x:c>
      <x:c r="K184" s="48" t="str"/>
      <x:c r="L184" s="48" t="str">
        <x:v>TRUE</x:v>
      </x:c>
      <x:c r="M184" s="48" t="str"/>
      <x:c r="N184" s="54" t="n">
        <x:v>46277</x:v>
      </x:c>
    </x:row>
    <x:row r="185">
      <x:c r="A185" s="48" t="str">
        <x:v>Q0184</x:v>
      </x:c>
      <x:c r="B185" s="48" t="str">
        <x:v>ORG019</x:v>
      </x:c>
      <x:c r="C185" s="48" t="str">
        <x:v>Campylobacter jejuni</x:v>
      </x:c>
      <x:c r="D185" s="48" t="str">
        <x:v>Growth</x:v>
      </x:c>
      <x:c r="E185" s="48" t="str">
        <x:v>Beta-hemolytic?</x:v>
      </x:c>
      <x:c r="F185" s="48" t="str">
        <x:v>FALSE</x:v>
      </x:c>
      <x:c r="G185" s="48" t="str">
        <x:v>Hemolysis: Non-hemolytic.</x:v>
      </x:c>
      <x:c r="H185" s="48" t="str">
        <x:v>Medium</x:v>
      </x:c>
      <x:c r="I185" s="48" t="str">
        <x:v>High</x:v>
      </x:c>
      <x:c r="J185" s="48" t="str">
        <x:v>Bacterial Morphology &amp; Physiology Cantres 2026</x:v>
      </x:c>
      <x:c r="K185" s="48" t="str"/>
      <x:c r="L185" s="48" t="str">
        <x:v>TRUE</x:v>
      </x:c>
      <x:c r="M185" s="48" t="str"/>
      <x:c r="N185" s="54" t="n">
        <x:v>46277</x:v>
      </x:c>
    </x:row>
    <x:row r="186">
      <x:c r="A186" s="48" t="str">
        <x:v>Q0185</x:v>
      </x:c>
      <x:c r="B186" s="48" t="str">
        <x:v>ORG019</x:v>
      </x:c>
      <x:c r="C186" s="48" t="str">
        <x:v>Campylobacter jejuni</x:v>
      </x:c>
      <x:c r="D186" s="48" t="str">
        <x:v>Biochemical</x:v>
      </x:c>
      <x:c r="E186" s="48" t="str">
        <x:v>Hippurate hydrolysis positive?</x:v>
      </x:c>
      <x:c r="F186" s="48" t="str">
        <x:v>TRUE</x:v>
      </x:c>
      <x:c r="G186" s="48" t="str">
        <x:v>Key test profile: Grows at 42°C (thermophilic) on Campy-BAP agar, Hippurate hydrolysis positive (+), Oxidase (+).</x:v>
      </x:c>
      <x:c r="H186" s="48" t="str">
        <x:v>Medium</x:v>
      </x:c>
      <x:c r="I186" s="48" t="str">
        <x:v>High</x:v>
      </x:c>
      <x:c r="J186" s="48" t="str">
        <x:v>Bacterial Morphology &amp; Physiology Cantres 2026</x:v>
      </x:c>
      <x:c r="K186" s="48" t="str"/>
      <x:c r="L186" s="48" t="str">
        <x:v>TRUE</x:v>
      </x:c>
      <x:c r="M186" s="48" t="str"/>
      <x:c r="N186" s="54" t="n">
        <x:v>46277</x:v>
      </x:c>
    </x:row>
    <x:row r="187">
      <x:c r="A187" s="48" t="str">
        <x:v>Q0186</x:v>
      </x:c>
      <x:c r="B187" s="48" t="str">
        <x:v>ORG019</x:v>
      </x:c>
      <x:c r="C187" s="48" t="str">
        <x:v>Campylobacter jejuni</x:v>
      </x:c>
      <x:c r="D187" s="48" t="str">
        <x:v>Growth</x:v>
      </x:c>
      <x:c r="E187" s="48" t="str">
        <x:v>Grows at 42°C?</x:v>
      </x:c>
      <x:c r="F187" s="48" t="str">
        <x:v>TRUE</x:v>
      </x:c>
      <x:c r="G187" s="48" t="str">
        <x:v>Key test profile: Grows at 42°C (thermophilic) on Campy-BAP agar, Hippurate hydrolysis positive (+), Oxidase (+).</x:v>
      </x:c>
      <x:c r="H187" s="48" t="str">
        <x:v>Medium</x:v>
      </x:c>
      <x:c r="I187" s="48" t="str">
        <x:v>High</x:v>
      </x:c>
      <x:c r="J187" s="48" t="str">
        <x:v>Bacterial Morphology &amp; Physiology Cantres 2026</x:v>
      </x:c>
      <x:c r="K187" s="48" t="str"/>
      <x:c r="L187" s="48" t="str">
        <x:v>TRUE</x:v>
      </x:c>
      <x:c r="M187" s="48" t="str"/>
      <x:c r="N187" s="54" t="n">
        <x:v>46277</x:v>
      </x:c>
    </x:row>
    <x:row r="188">
      <x:c r="A188" s="48" t="str">
        <x:v>Q0187</x:v>
      </x:c>
      <x:c r="B188" s="48" t="str">
        <x:v>ORG020</x:v>
      </x:c>
      <x:c r="C188" s="48" t="str">
        <x:v>Helicobacter pylori</x:v>
      </x:c>
      <x:c r="D188" s="48" t="str">
        <x:v>Morphology</x:v>
      </x:c>
      <x:c r="E188" s="48" t="str">
        <x:v>Gram-positive?</x:v>
      </x:c>
      <x:c r="F188" s="48" t="str">
        <x:v>FALSE</x:v>
      </x:c>
      <x:c r="G188" s="48" t="str">
        <x:v>Helicobacter pylori is listed as Gram-Negative (-).</x:v>
      </x:c>
      <x:c r="H188" s="48" t="str">
        <x:v>Easy</x:v>
      </x:c>
      <x:c r="I188" s="48" t="str">
        <x:v>High</x:v>
      </x:c>
      <x:c r="J188" s="48" t="str">
        <x:v>Bacterial Morphology &amp; Physiology Cantres 2026</x:v>
      </x:c>
      <x:c r="K188" s="48" t="str"/>
      <x:c r="L188" s="48" t="str">
        <x:v>TRUE</x:v>
      </x:c>
      <x:c r="M188" s="48" t="str"/>
      <x:c r="N188" s="54" t="n">
        <x:v>46277</x:v>
      </x:c>
    </x:row>
    <x:row r="189">
      <x:c r="A189" s="48" t="str">
        <x:v>Q0188</x:v>
      </x:c>
      <x:c r="B189" s="48" t="str">
        <x:v>ORG020</x:v>
      </x:c>
      <x:c r="C189" s="48" t="str">
        <x:v>Helicobacter pylori</x:v>
      </x:c>
      <x:c r="D189" s="48" t="str">
        <x:v>Biochemical</x:v>
      </x:c>
      <x:c r="E189" s="48" t="str">
        <x:v>Catalase positive?</x:v>
      </x:c>
      <x:c r="F189" s="48" t="str">
        <x:v>TRUE</x:v>
      </x:c>
      <x:c r="G189" s="48" t="str">
        <x:v>Catalase: Positive (+).</x:v>
      </x:c>
      <x:c r="H189" s="48" t="str">
        <x:v>Easy</x:v>
      </x:c>
      <x:c r="I189" s="48" t="str">
        <x:v>High</x:v>
      </x:c>
      <x:c r="J189" s="48" t="str">
        <x:v>Bacterial Morphology &amp; Physiology Cantres 2026</x:v>
      </x:c>
      <x:c r="K189" s="48" t="str"/>
      <x:c r="L189" s="48" t="str">
        <x:v>TRUE</x:v>
      </x:c>
      <x:c r="M189" s="48" t="str"/>
      <x:c r="N189" s="54" t="n">
        <x:v>46277</x:v>
      </x:c>
    </x:row>
    <x:row r="190">
      <x:c r="A190" s="48" t="str">
        <x:v>Q0189</x:v>
      </x:c>
      <x:c r="B190" s="48" t="str">
        <x:v>ORG020</x:v>
      </x:c>
      <x:c r="C190" s="48" t="str">
        <x:v>Helicobacter pylori</x:v>
      </x:c>
      <x:c r="D190" s="48" t="str">
        <x:v>Biochemical</x:v>
      </x:c>
      <x:c r="E190" s="48" t="str">
        <x:v>Oxidase positive?</x:v>
      </x:c>
      <x:c r="F190" s="48" t="str">
        <x:v>TRUE</x:v>
      </x:c>
      <x:c r="G190" s="48" t="str">
        <x:v>Oxidase: Positive (+).</x:v>
      </x:c>
      <x:c r="H190" s="48" t="str">
        <x:v>Easy</x:v>
      </x:c>
      <x:c r="I190" s="48" t="str">
        <x:v>High</x:v>
      </x:c>
      <x:c r="J190" s="48" t="str">
        <x:v>Bacterial Morphology &amp; Physiology Cantres 2026</x:v>
      </x:c>
      <x:c r="K190" s="48" t="str"/>
      <x:c r="L190" s="48" t="str">
        <x:v>TRUE</x:v>
      </x:c>
      <x:c r="M190" s="48" t="str"/>
      <x:c r="N190" s="54" t="n">
        <x:v>46277</x:v>
      </x:c>
    </x:row>
    <x:row r="191">
      <x:c r="A191" s="48" t="str">
        <x:v>Q0190</x:v>
      </x:c>
      <x:c r="B191" s="48" t="str">
        <x:v>ORG020</x:v>
      </x:c>
      <x:c r="C191" s="48" t="str">
        <x:v>Helicobacter pylori</x:v>
      </x:c>
      <x:c r="D191" s="48" t="str">
        <x:v>Morphology</x:v>
      </x:c>
      <x:c r="E191" s="48" t="str">
        <x:v>Motile?</x:v>
      </x:c>
      <x:c r="F191" s="48" t="str">
        <x:v>TRUE</x:v>
      </x:c>
      <x:c r="G191" s="48" t="str">
        <x:v>Motility: Motile (multiple lophotrichous flagella).</x:v>
      </x:c>
      <x:c r="H191" s="48" t="str">
        <x:v>Easy</x:v>
      </x:c>
      <x:c r="I191" s="48" t="str">
        <x:v>High</x:v>
      </x:c>
      <x:c r="J191" s="48" t="str">
        <x:v>Bacterial Morphology &amp; Physiology Cantres 2026</x:v>
      </x:c>
      <x:c r="K191" s="48" t="str"/>
      <x:c r="L191" s="48" t="str">
        <x:v>TRUE</x:v>
      </x:c>
      <x:c r="M191" s="48" t="str"/>
      <x:c r="N191" s="54" t="n">
        <x:v>46277</x:v>
      </x:c>
    </x:row>
    <x:row r="192">
      <x:c r="A192" s="48" t="str">
        <x:v>Q0191</x:v>
      </x:c>
      <x:c r="B192" s="48" t="str">
        <x:v>ORG020</x:v>
      </x:c>
      <x:c r="C192" s="48" t="str">
        <x:v>Helicobacter pylori</x:v>
      </x:c>
      <x:c r="D192" s="48" t="str">
        <x:v>Morphology</x:v>
      </x:c>
      <x:c r="E192" s="48" t="str">
        <x:v>Spore-forming?</x:v>
      </x:c>
      <x:c r="F192" s="48" t="str">
        <x:v>FALSE</x:v>
      </x:c>
      <x:c r="G192" s="48" t="str">
        <x:v>Spore formation: No.</x:v>
      </x:c>
      <x:c r="H192" s="48" t="str">
        <x:v>Easy</x:v>
      </x:c>
      <x:c r="I192" s="48" t="str">
        <x:v>High</x:v>
      </x:c>
      <x:c r="J192" s="48" t="str">
        <x:v>Bacterial Morphology &amp; Physiology Cantres 2026</x:v>
      </x:c>
      <x:c r="K192" s="48" t="str"/>
      <x:c r="L192" s="48" t="str">
        <x:v>TRUE</x:v>
      </x:c>
      <x:c r="M192" s="48" t="str"/>
      <x:c r="N192" s="54" t="n">
        <x:v>46277</x:v>
      </x:c>
    </x:row>
    <x:row r="193">
      <x:c r="A193" s="48" t="str">
        <x:v>Q0192</x:v>
      </x:c>
      <x:c r="B193" s="48" t="str">
        <x:v>ORG020</x:v>
      </x:c>
      <x:c r="C193" s="48" t="str">
        <x:v>Helicobacter pylori</x:v>
      </x:c>
      <x:c r="D193" s="48" t="str">
        <x:v>Growth</x:v>
      </x:c>
      <x:c r="E193" s="48" t="str">
        <x:v>Facultative anaerobe?</x:v>
      </x:c>
      <x:c r="F193" s="48" t="str">
        <x:v>FALSE</x:v>
      </x:c>
      <x:c r="G193" s="48" t="str">
        <x:v>Oxygen requirement: Microaerophilic.</x:v>
      </x:c>
      <x:c r="H193" s="48" t="str">
        <x:v>Medium</x:v>
      </x:c>
      <x:c r="I193" s="48" t="str">
        <x:v>High</x:v>
      </x:c>
      <x:c r="J193" s="48" t="str">
        <x:v>Bacterial Morphology &amp; Physiology Cantres 2026</x:v>
      </x:c>
      <x:c r="K193" s="48" t="str"/>
      <x:c r="L193" s="48" t="str">
        <x:v>TRUE</x:v>
      </x:c>
      <x:c r="M193" s="48" t="str"/>
      <x:c r="N193" s="54" t="n">
        <x:v>46277</x:v>
      </x:c>
    </x:row>
    <x:row r="194">
      <x:c r="A194" s="48" t="str">
        <x:v>Q0193</x:v>
      </x:c>
      <x:c r="B194" s="48" t="str">
        <x:v>ORG020</x:v>
      </x:c>
      <x:c r="C194" s="48" t="str">
        <x:v>Helicobacter pylori</x:v>
      </x:c>
      <x:c r="D194" s="48" t="str">
        <x:v>Growth</x:v>
      </x:c>
      <x:c r="E194" s="48" t="str">
        <x:v>Strict aerobe?</x:v>
      </x:c>
      <x:c r="F194" s="48" t="str">
        <x:v>FALSE</x:v>
      </x:c>
      <x:c r="G194" s="48" t="str">
        <x:v>Oxygen requirement: Microaerophilic.</x:v>
      </x:c>
      <x:c r="H194" s="48" t="str">
        <x:v>Medium</x:v>
      </x:c>
      <x:c r="I194" s="48" t="str">
        <x:v>High</x:v>
      </x:c>
      <x:c r="J194" s="48" t="str">
        <x:v>Bacterial Morphology &amp; Physiology Cantres 2026</x:v>
      </x:c>
      <x:c r="K194" s="48" t="str"/>
      <x:c r="L194" s="48" t="str">
        <x:v>TRUE</x:v>
      </x:c>
      <x:c r="M194" s="48" t="str"/>
      <x:c r="N194" s="54" t="n">
        <x:v>46277</x:v>
      </x:c>
    </x:row>
    <x:row r="195">
      <x:c r="A195" s="48" t="str">
        <x:v>Q0194</x:v>
      </x:c>
      <x:c r="B195" s="48" t="str">
        <x:v>ORG020</x:v>
      </x:c>
      <x:c r="C195" s="48" t="str">
        <x:v>Helicobacter pylori</x:v>
      </x:c>
      <x:c r="D195" s="48" t="str">
        <x:v>Growth</x:v>
      </x:c>
      <x:c r="E195" s="48" t="str">
        <x:v>Microaerophilic?</x:v>
      </x:c>
      <x:c r="F195" s="48" t="str">
        <x:v>TRUE</x:v>
      </x:c>
      <x:c r="G195" s="48" t="str">
        <x:v>Oxygen requirement: Microaerophilic.</x:v>
      </x:c>
      <x:c r="H195" s="48" t="str">
        <x:v>Medium</x:v>
      </x:c>
      <x:c r="I195" s="48" t="str">
        <x:v>High</x:v>
      </x:c>
      <x:c r="J195" s="48" t="str">
        <x:v>Bacterial Morphology &amp; Physiology Cantres 2026</x:v>
      </x:c>
      <x:c r="K195" s="48" t="str"/>
      <x:c r="L195" s="48" t="str">
        <x:v>TRUE</x:v>
      </x:c>
      <x:c r="M195" s="48" t="str"/>
      <x:c r="N195" s="54" t="n">
        <x:v>46277</x:v>
      </x:c>
    </x:row>
    <x:row r="196">
      <x:c r="A196" s="48" t="str">
        <x:v>Q0195</x:v>
      </x:c>
      <x:c r="B196" s="48" t="str">
        <x:v>ORG020</x:v>
      </x:c>
      <x:c r="C196" s="48" t="str">
        <x:v>Helicobacter pylori</x:v>
      </x:c>
      <x:c r="D196" s="48" t="str">
        <x:v>Growth</x:v>
      </x:c>
      <x:c r="E196" s="48" t="str">
        <x:v>Beta-hemolytic?</x:v>
      </x:c>
      <x:c r="F196" s="48" t="str">
        <x:v>FALSE</x:v>
      </x:c>
      <x:c r="G196" s="48" t="str">
        <x:v>Hemolysis: Non-hemolytic.</x:v>
      </x:c>
      <x:c r="H196" s="48" t="str">
        <x:v>Medium</x:v>
      </x:c>
      <x:c r="I196" s="48" t="str">
        <x:v>High</x:v>
      </x:c>
      <x:c r="J196" s="48" t="str">
        <x:v>Bacterial Morphology &amp; Physiology Cantres 2026</x:v>
      </x:c>
      <x:c r="K196" s="48" t="str"/>
      <x:c r="L196" s="48" t="str">
        <x:v>TRUE</x:v>
      </x:c>
      <x:c r="M196" s="48" t="str"/>
      <x:c r="N196" s="54" t="n">
        <x:v>46277</x:v>
      </x:c>
    </x:row>
    <x:row r="197">
      <x:c r="A197" s="48" t="str">
        <x:v>Q0196</x:v>
      </x:c>
      <x:c r="B197" s="48" t="str">
        <x:v>ORG020</x:v>
      </x:c>
      <x:c r="C197" s="48" t="str">
        <x:v>Helicobacter pylori</x:v>
      </x:c>
      <x:c r="D197" s="48" t="str">
        <x:v>Biochemical</x:v>
      </x:c>
      <x:c r="E197" s="48" t="str">
        <x:v>Urease positive?</x:v>
      </x:c>
      <x:c r="F197" s="48" t="str">
        <x:v>TRUE</x:v>
      </x:c>
      <x:c r="G197" s="48" t="str">
        <x:v>Key test profile: Rapid Urease positive (+), Oxidase (+), Catalase (+), Nitrate reduction negative.</x:v>
      </x:c>
      <x:c r="H197" s="48" t="str">
        <x:v>Medium</x:v>
      </x:c>
      <x:c r="I197" s="48" t="str">
        <x:v>High</x:v>
      </x:c>
      <x:c r="J197" s="48" t="str">
        <x:v>Bacterial Morphology &amp; Physiology Cantres 2026</x:v>
      </x:c>
      <x:c r="K197" s="48" t="str"/>
      <x:c r="L197" s="48" t="str">
        <x:v>TRUE</x:v>
      </x:c>
      <x:c r="M197" s="48" t="str"/>
      <x:c r="N197" s="54" t="n">
        <x:v>46277</x:v>
      </x:c>
    </x:row>
    <x:row r="198">
      <x:c r="A198" s="48" t="str">
        <x:v>Q0197</x:v>
      </x:c>
      <x:c r="B198" s="48" t="str">
        <x:v>ORG021</x:v>
      </x:c>
      <x:c r="C198" s="48" t="str">
        <x:v>Morganella morganii</x:v>
      </x:c>
      <x:c r="D198" s="48" t="str">
        <x:v>Morphology</x:v>
      </x:c>
      <x:c r="E198" s="48" t="str">
        <x:v>Gram-positive?</x:v>
      </x:c>
      <x:c r="F198" s="48" t="str">
        <x:v>FALSE</x:v>
      </x:c>
      <x:c r="G198" s="48" t="str">
        <x:v>Morganella morganii is listed as Gram-Negative (-).</x:v>
      </x:c>
      <x:c r="H198" s="48" t="str">
        <x:v>Easy</x:v>
      </x:c>
      <x:c r="I198" s="48" t="str">
        <x:v>High</x:v>
      </x:c>
      <x:c r="J198" s="48" t="str">
        <x:v>Bacterial Morphology &amp; Physiology Cantres 2026</x:v>
      </x:c>
      <x:c r="K198" s="48" t="str"/>
      <x:c r="L198" s="48" t="str">
        <x:v>TRUE</x:v>
      </x:c>
      <x:c r="M198" s="48" t="str"/>
      <x:c r="N198" s="54" t="n">
        <x:v>46277</x:v>
      </x:c>
    </x:row>
    <x:row r="199">
      <x:c r="A199" s="48" t="str">
        <x:v>Q0198</x:v>
      </x:c>
      <x:c r="B199" s="48" t="str">
        <x:v>ORG021</x:v>
      </x:c>
      <x:c r="C199" s="48" t="str">
        <x:v>Morganella morganii</x:v>
      </x:c>
      <x:c r="D199" s="48" t="str">
        <x:v>Biochemical</x:v>
      </x:c>
      <x:c r="E199" s="48" t="str">
        <x:v>Catalase positive?</x:v>
      </x:c>
      <x:c r="F199" s="48" t="str">
        <x:v>TRUE</x:v>
      </x:c>
      <x:c r="G199" s="48" t="str">
        <x:v>Catalase: Positive (+).</x:v>
      </x:c>
      <x:c r="H199" s="48" t="str">
        <x:v>Easy</x:v>
      </x:c>
      <x:c r="I199" s="48" t="str">
        <x:v>High</x:v>
      </x:c>
      <x:c r="J199" s="48" t="str">
        <x:v>Bacterial Morphology &amp; Physiology Cantres 2026</x:v>
      </x:c>
      <x:c r="K199" s="48" t="str"/>
      <x:c r="L199" s="48" t="str">
        <x:v>TRUE</x:v>
      </x:c>
      <x:c r="M199" s="48" t="str"/>
      <x:c r="N199" s="54" t="n">
        <x:v>46277</x:v>
      </x:c>
    </x:row>
    <x:row r="200">
      <x:c r="A200" s="48" t="str">
        <x:v>Q0199</x:v>
      </x:c>
      <x:c r="B200" s="48" t="str">
        <x:v>ORG021</x:v>
      </x:c>
      <x:c r="C200" s="48" t="str">
        <x:v>Morganella morganii</x:v>
      </x:c>
      <x:c r="D200" s="48" t="str">
        <x:v>Biochemical</x:v>
      </x:c>
      <x:c r="E200" s="48" t="str">
        <x:v>Oxidase positive?</x:v>
      </x:c>
      <x:c r="F200" s="48" t="str">
        <x:v>FALSE</x:v>
      </x:c>
      <x:c r="G200" s="48" t="str">
        <x:v>Oxidase: Negative (-).</x:v>
      </x:c>
      <x:c r="H200" s="48" t="str">
        <x:v>Easy</x:v>
      </x:c>
      <x:c r="I200" s="48" t="str">
        <x:v>High</x:v>
      </x:c>
      <x:c r="J200" s="48" t="str">
        <x:v>Bacterial Morphology &amp; Physiology Cantres 2026</x:v>
      </x:c>
      <x:c r="K200" s="48" t="str"/>
      <x:c r="L200" s="48" t="str">
        <x:v>TRUE</x:v>
      </x:c>
      <x:c r="M200" s="48" t="str"/>
      <x:c r="N200" s="54" t="n">
        <x:v>46277</x:v>
      </x:c>
    </x:row>
    <x:row r="201">
      <x:c r="A201" s="48" t="str">
        <x:v>Q0200</x:v>
      </x:c>
      <x:c r="B201" s="48" t="str">
        <x:v>ORG021</x:v>
      </x:c>
      <x:c r="C201" s="48" t="str">
        <x:v>Morganella morganii</x:v>
      </x:c>
      <x:c r="D201" s="48" t="str">
        <x:v>Morphology</x:v>
      </x:c>
      <x:c r="E201" s="48" t="str">
        <x:v>Motile?</x:v>
      </x:c>
      <x:c r="F201" s="48" t="str">
        <x:v>TRUE</x:v>
      </x:c>
      <x:c r="G201" s="48" t="str">
        <x:v>Motility: Motile (does NOT swarm).</x:v>
      </x:c>
      <x:c r="H201" s="48" t="str">
        <x:v>Easy</x:v>
      </x:c>
      <x:c r="I201" s="48" t="str">
        <x:v>High</x:v>
      </x:c>
      <x:c r="J201" s="48" t="str">
        <x:v>Bacterial Morphology &amp; Physiology Cantres 2026</x:v>
      </x:c>
      <x:c r="K201" s="48" t="str"/>
      <x:c r="L201" s="48" t="str">
        <x:v>TRUE</x:v>
      </x:c>
      <x:c r="M201" s="48" t="str"/>
      <x:c r="N201" s="54" t="n">
        <x:v>46277</x:v>
      </x:c>
    </x:row>
    <x:row r="202">
      <x:c r="A202" s="48" t="str">
        <x:v>Q0201</x:v>
      </x:c>
      <x:c r="B202" s="48" t="str">
        <x:v>ORG021</x:v>
      </x:c>
      <x:c r="C202" s="48" t="str">
        <x:v>Morganella morganii</x:v>
      </x:c>
      <x:c r="D202" s="48" t="str">
        <x:v>Morphology</x:v>
      </x:c>
      <x:c r="E202" s="48" t="str">
        <x:v>Spore-forming?</x:v>
      </x:c>
      <x:c r="F202" s="48" t="str">
        <x:v>FALSE</x:v>
      </x:c>
      <x:c r="G202" s="48" t="str">
        <x:v>Spore formation: No.</x:v>
      </x:c>
      <x:c r="H202" s="48" t="str">
        <x:v>Easy</x:v>
      </x:c>
      <x:c r="I202" s="48" t="str">
        <x:v>High</x:v>
      </x:c>
      <x:c r="J202" s="48" t="str">
        <x:v>Bacterial Morphology &amp; Physiology Cantres 2026</x:v>
      </x:c>
      <x:c r="K202" s="48" t="str"/>
      <x:c r="L202" s="48" t="str">
        <x:v>TRUE</x:v>
      </x:c>
      <x:c r="M202" s="48" t="str"/>
      <x:c r="N202" s="54" t="n">
        <x:v>46277</x:v>
      </x:c>
    </x:row>
    <x:row r="203">
      <x:c r="A203" s="48" t="str">
        <x:v>Q0202</x:v>
      </x:c>
      <x:c r="B203" s="48" t="str">
        <x:v>ORG021</x:v>
      </x:c>
      <x:c r="C203" s="48" t="str">
        <x:v>Morganella morganii</x:v>
      </x:c>
      <x:c r="D203" s="48" t="str">
        <x:v>Growth</x:v>
      </x:c>
      <x:c r="E203" s="48" t="str">
        <x:v>Facultative anaerobe?</x:v>
      </x:c>
      <x:c r="F203" s="48" t="str">
        <x:v>TRUE</x:v>
      </x:c>
      <x:c r="G203" s="48" t="str">
        <x:v>Oxygen requirement: Facultative Anaerobe.</x:v>
      </x:c>
      <x:c r="H203" s="48" t="str">
        <x:v>Medium</x:v>
      </x:c>
      <x:c r="I203" s="48" t="str">
        <x:v>High</x:v>
      </x:c>
      <x:c r="J203" s="48" t="str">
        <x:v>Bacterial Morphology &amp; Physiology Cantres 2026</x:v>
      </x:c>
      <x:c r="K203" s="48" t="str"/>
      <x:c r="L203" s="48" t="str">
        <x:v>TRUE</x:v>
      </x:c>
      <x:c r="M203" s="48" t="str"/>
      <x:c r="N203" s="54" t="n">
        <x:v>46277</x:v>
      </x:c>
    </x:row>
    <x:row r="204">
      <x:c r="A204" s="48" t="str">
        <x:v>Q0203</x:v>
      </x:c>
      <x:c r="B204" s="48" t="str">
        <x:v>ORG021</x:v>
      </x:c>
      <x:c r="C204" s="48" t="str">
        <x:v>Morganella morganii</x:v>
      </x:c>
      <x:c r="D204" s="48" t="str">
        <x:v>Growth</x:v>
      </x:c>
      <x:c r="E204" s="48" t="str">
        <x:v>Strict aerobe?</x:v>
      </x:c>
      <x:c r="F204" s="48" t="str">
        <x:v>FALSE</x:v>
      </x:c>
      <x:c r="G204" s="48" t="str">
        <x:v>Oxygen requirement: Facultative Anaerobe.</x:v>
      </x:c>
      <x:c r="H204" s="48" t="str">
        <x:v>Medium</x:v>
      </x:c>
      <x:c r="I204" s="48" t="str">
        <x:v>High</x:v>
      </x:c>
      <x:c r="J204" s="48" t="str">
        <x:v>Bacterial Morphology &amp; Physiology Cantres 2026</x:v>
      </x:c>
      <x:c r="K204" s="48" t="str"/>
      <x:c r="L204" s="48" t="str">
        <x:v>TRUE</x:v>
      </x:c>
      <x:c r="M204" s="48" t="str"/>
      <x:c r="N204" s="54" t="n">
        <x:v>46277</x:v>
      </x:c>
    </x:row>
    <x:row r="205">
      <x:c r="A205" s="48" t="str">
        <x:v>Q0204</x:v>
      </x:c>
      <x:c r="B205" s="48" t="str">
        <x:v>ORG021</x:v>
      </x:c>
      <x:c r="C205" s="48" t="str">
        <x:v>Morganella morganii</x:v>
      </x:c>
      <x:c r="D205" s="48" t="str">
        <x:v>Growth</x:v>
      </x:c>
      <x:c r="E205" s="48" t="str">
        <x:v>Beta-hemolytic?</x:v>
      </x:c>
      <x:c r="F205" s="48" t="str">
        <x:v>FALSE</x:v>
      </x:c>
      <x:c r="G205" s="48" t="str">
        <x:v>Hemolysis: Non-hemolytic.</x:v>
      </x:c>
      <x:c r="H205" s="48" t="str">
        <x:v>Medium</x:v>
      </x:c>
      <x:c r="I205" s="48" t="str">
        <x:v>High</x:v>
      </x:c>
      <x:c r="J205" s="48" t="str">
        <x:v>Bacterial Morphology &amp; Physiology Cantres 2026</x:v>
      </x:c>
      <x:c r="K205" s="48" t="str"/>
      <x:c r="L205" s="48" t="str">
        <x:v>TRUE</x:v>
      </x:c>
      <x:c r="M205" s="48" t="str"/>
      <x:c r="N205" s="54" t="n">
        <x:v>46277</x:v>
      </x:c>
    </x:row>
    <x:row r="206">
      <x:c r="A206" s="48" t="str">
        <x:v>Q0205</x:v>
      </x:c>
      <x:c r="B206" s="48" t="str">
        <x:v>ORG021</x:v>
      </x:c>
      <x:c r="C206" s="48" t="str">
        <x:v>Morganella morganii</x:v>
      </x:c>
      <x:c r="D206" s="48" t="str">
        <x:v>Biochemical</x:v>
      </x:c>
      <x:c r="E206" s="48" t="str">
        <x:v>Urease positive?</x:v>
      </x:c>
      <x:c r="F206" s="48" t="str">
        <x:v>TRUE</x:v>
      </x:c>
      <x:c r="G206" s="48" t="str">
        <x:v>Key test profile: Urease positive (+), Indole positive (+), H2S negative (-), Citrate negative (-).</x:v>
      </x:c>
      <x:c r="H206" s="48" t="str">
        <x:v>Medium</x:v>
      </x:c>
      <x:c r="I206" s="48" t="str">
        <x:v>High</x:v>
      </x:c>
      <x:c r="J206" s="48" t="str">
        <x:v>Bacterial Morphology &amp; Physiology Cantres 2026</x:v>
      </x:c>
      <x:c r="K206" s="48" t="str"/>
      <x:c r="L206" s="48" t="str">
        <x:v>TRUE</x:v>
      </x:c>
      <x:c r="M206" s="48" t="str"/>
      <x:c r="N206" s="54" t="n">
        <x:v>46277</x:v>
      </x:c>
    </x:row>
    <x:row r="207">
      <x:c r="A207" s="48" t="str">
        <x:v>Q0206</x:v>
      </x:c>
      <x:c r="B207" s="48" t="str">
        <x:v>ORG021</x:v>
      </x:c>
      <x:c r="C207" s="48" t="str">
        <x:v>Morganella morganii</x:v>
      </x:c>
      <x:c r="D207" s="48" t="str">
        <x:v>Biochemical</x:v>
      </x:c>
      <x:c r="E207" s="48" t="str">
        <x:v>Indole positive?</x:v>
      </x:c>
      <x:c r="F207" s="48" t="str">
        <x:v>TRUE</x:v>
      </x:c>
      <x:c r="G207" s="48" t="str">
        <x:v>Key test profile: Urease positive (+), Indole positive (+), H2S negative (-), Citrate negative (-).</x:v>
      </x:c>
      <x:c r="H207" s="48" t="str">
        <x:v>Medium</x:v>
      </x:c>
      <x:c r="I207" s="48" t="str">
        <x:v>High</x:v>
      </x:c>
      <x:c r="J207" s="48" t="str">
        <x:v>Bacterial Morphology &amp; Physiology Cantres 2026</x:v>
      </x:c>
      <x:c r="K207" s="48" t="str"/>
      <x:c r="L207" s="48" t="str">
        <x:v>TRUE</x:v>
      </x:c>
      <x:c r="M207" s="48" t="str"/>
      <x:c r="N207" s="54" t="n">
        <x:v>46277</x:v>
      </x:c>
    </x:row>
    <x:row r="208">
      <x:c r="A208" s="48" t="str">
        <x:v>Q0207</x:v>
      </x:c>
      <x:c r="B208" s="48" t="str">
        <x:v>ORG021</x:v>
      </x:c>
      <x:c r="C208" s="48" t="str">
        <x:v>Morganella morganii</x:v>
      </x:c>
      <x:c r="D208" s="48" t="str">
        <x:v>Biochemical</x:v>
      </x:c>
      <x:c r="E208" s="48" t="str">
        <x:v>H2S positive?</x:v>
      </x:c>
      <x:c r="F208" s="48" t="str">
        <x:v>FALSE</x:v>
      </x:c>
      <x:c r="G208" s="48" t="str">
        <x:v>Key test profile: Urease positive (+), Indole positive (+), H2S negative (-), Citrate negative (-).</x:v>
      </x:c>
      <x:c r="H208" s="48" t="str">
        <x:v>Medium</x:v>
      </x:c>
      <x:c r="I208" s="48" t="str">
        <x:v>High</x:v>
      </x:c>
      <x:c r="J208" s="48" t="str">
        <x:v>Bacterial Morphology &amp; Physiology Cantres 2026</x:v>
      </x:c>
      <x:c r="K208" s="48" t="str"/>
      <x:c r="L208" s="48" t="str">
        <x:v>TRUE</x:v>
      </x:c>
      <x:c r="M208" s="48" t="str"/>
      <x:c r="N208" s="54" t="n">
        <x:v>46277</x:v>
      </x:c>
    </x:row>
    <x:row r="209">
      <x:c r="A209" s="48" t="str">
        <x:v>Q0208</x:v>
      </x:c>
      <x:c r="B209" s="48" t="str">
        <x:v>ORG021</x:v>
      </x:c>
      <x:c r="C209" s="48" t="str">
        <x:v>Morganella morganii</x:v>
      </x:c>
      <x:c r="D209" s="48" t="str">
        <x:v>Biochemical</x:v>
      </x:c>
      <x:c r="E209" s="48" t="str">
        <x:v>Citrate positive?</x:v>
      </x:c>
      <x:c r="F209" s="48" t="str">
        <x:v>FALSE</x:v>
      </x:c>
      <x:c r="G209" s="48" t="str">
        <x:v>Key test profile: Urease positive (+), Indole positive (+), H2S negative (-), Citrate negative (-).</x:v>
      </x:c>
      <x:c r="H209" s="48" t="str">
        <x:v>Medium</x:v>
      </x:c>
      <x:c r="I209" s="48" t="str">
        <x:v>High</x:v>
      </x:c>
      <x:c r="J209" s="48" t="str">
        <x:v>Bacterial Morphology &amp; Physiology Cantres 2026</x:v>
      </x:c>
      <x:c r="K209" s="48" t="str"/>
      <x:c r="L209" s="48" t="str">
        <x:v>TRUE</x:v>
      </x:c>
      <x:c r="M209" s="48" t="str"/>
      <x:c r="N209" s="54" t="n">
        <x:v>46277</x:v>
      </x:c>
    </x:row>
    <x:row r="210">
      <x:c r="A210" s="48" t="str">
        <x:v>Q0209</x:v>
      </x:c>
      <x:c r="B210" s="48" t="str">
        <x:v>ORG022</x:v>
      </x:c>
      <x:c r="C210" s="48" t="str">
        <x:v>Providencia spp. (P. rettgeri, P. stuartii)</x:v>
      </x:c>
      <x:c r="D210" s="48" t="str">
        <x:v>Morphology</x:v>
      </x:c>
      <x:c r="E210" s="48" t="str">
        <x:v>Gram-positive?</x:v>
      </x:c>
      <x:c r="F210" s="48" t="str">
        <x:v>FALSE</x:v>
      </x:c>
      <x:c r="G210" s="48" t="str">
        <x:v>Providencia spp. (P. rettgeri, P. stuartii) is listed as Gram-Negative (-).</x:v>
      </x:c>
      <x:c r="H210" s="48" t="str">
        <x:v>Easy</x:v>
      </x:c>
      <x:c r="I210" s="48" t="str">
        <x:v>High</x:v>
      </x:c>
      <x:c r="J210" s="48" t="str">
        <x:v>Bacterial Morphology &amp; Physiology Cantres 2026</x:v>
      </x:c>
      <x:c r="K210" s="48" t="str"/>
      <x:c r="L210" s="48" t="str">
        <x:v>TRUE</x:v>
      </x:c>
      <x:c r="M210" s="48" t="str"/>
      <x:c r="N210" s="54" t="n">
        <x:v>46277</x:v>
      </x:c>
    </x:row>
    <x:row r="211">
      <x:c r="A211" s="48" t="str">
        <x:v>Q0210</x:v>
      </x:c>
      <x:c r="B211" s="48" t="str">
        <x:v>ORG022</x:v>
      </x:c>
      <x:c r="C211" s="48" t="str">
        <x:v>Providencia spp. (P. rettgeri, P. stuartii)</x:v>
      </x:c>
      <x:c r="D211" s="48" t="str">
        <x:v>Biochemical</x:v>
      </x:c>
      <x:c r="E211" s="48" t="str">
        <x:v>Catalase positive?</x:v>
      </x:c>
      <x:c r="F211" s="48" t="str">
        <x:v>TRUE</x:v>
      </x:c>
      <x:c r="G211" s="48" t="str">
        <x:v>Catalase: Positive (+).</x:v>
      </x:c>
      <x:c r="H211" s="48" t="str">
        <x:v>Easy</x:v>
      </x:c>
      <x:c r="I211" s="48" t="str">
        <x:v>High</x:v>
      </x:c>
      <x:c r="J211" s="48" t="str">
        <x:v>Bacterial Morphology &amp; Physiology Cantres 2026</x:v>
      </x:c>
      <x:c r="K211" s="48" t="str"/>
      <x:c r="L211" s="48" t="str">
        <x:v>TRUE</x:v>
      </x:c>
      <x:c r="M211" s="48" t="str"/>
      <x:c r="N211" s="54" t="n">
        <x:v>46277</x:v>
      </x:c>
    </x:row>
    <x:row r="212">
      <x:c r="A212" s="48" t="str">
        <x:v>Q0211</x:v>
      </x:c>
      <x:c r="B212" s="48" t="str">
        <x:v>ORG022</x:v>
      </x:c>
      <x:c r="C212" s="48" t="str">
        <x:v>Providencia spp. (P. rettgeri, P. stuartii)</x:v>
      </x:c>
      <x:c r="D212" s="48" t="str">
        <x:v>Biochemical</x:v>
      </x:c>
      <x:c r="E212" s="48" t="str">
        <x:v>Oxidase positive?</x:v>
      </x:c>
      <x:c r="F212" s="48" t="str">
        <x:v>FALSE</x:v>
      </x:c>
      <x:c r="G212" s="48" t="str">
        <x:v>Oxidase: Negative (-).</x:v>
      </x:c>
      <x:c r="H212" s="48" t="str">
        <x:v>Easy</x:v>
      </x:c>
      <x:c r="I212" s="48" t="str">
        <x:v>High</x:v>
      </x:c>
      <x:c r="J212" s="48" t="str">
        <x:v>Bacterial Morphology &amp; Physiology Cantres 2026</x:v>
      </x:c>
      <x:c r="K212" s="48" t="str"/>
      <x:c r="L212" s="48" t="str">
        <x:v>TRUE</x:v>
      </x:c>
      <x:c r="M212" s="48" t="str"/>
      <x:c r="N212" s="54" t="n">
        <x:v>46277</x:v>
      </x:c>
    </x:row>
    <x:row r="213">
      <x:c r="A213" s="48" t="str">
        <x:v>Q0212</x:v>
      </x:c>
      <x:c r="B213" s="48" t="str">
        <x:v>ORG022</x:v>
      </x:c>
      <x:c r="C213" s="48" t="str">
        <x:v>Providencia spp. (P. rettgeri, P. stuartii)</x:v>
      </x:c>
      <x:c r="D213" s="48" t="str">
        <x:v>Morphology</x:v>
      </x:c>
      <x:c r="E213" s="48" t="str">
        <x:v>Motile?</x:v>
      </x:c>
      <x:c r="F213" s="48" t="str">
        <x:v>TRUE</x:v>
      </x:c>
      <x:c r="G213" s="48" t="str">
        <x:v>Motility: Motile.</x:v>
      </x:c>
      <x:c r="H213" s="48" t="str">
        <x:v>Easy</x:v>
      </x:c>
      <x:c r="I213" s="48" t="str">
        <x:v>High</x:v>
      </x:c>
      <x:c r="J213" s="48" t="str">
        <x:v>Bacterial Morphology &amp; Physiology Cantres 2026</x:v>
      </x:c>
      <x:c r="K213" s="48" t="str"/>
      <x:c r="L213" s="48" t="str">
        <x:v>TRUE</x:v>
      </x:c>
      <x:c r="M213" s="48" t="str"/>
      <x:c r="N213" s="54" t="n">
        <x:v>46277</x:v>
      </x:c>
    </x:row>
    <x:row r="214">
      <x:c r="A214" s="48" t="str">
        <x:v>Q0213</x:v>
      </x:c>
      <x:c r="B214" s="48" t="str">
        <x:v>ORG022</x:v>
      </x:c>
      <x:c r="C214" s="48" t="str">
        <x:v>Providencia spp. (P. rettgeri, P. stuartii)</x:v>
      </x:c>
      <x:c r="D214" s="48" t="str">
        <x:v>Morphology</x:v>
      </x:c>
      <x:c r="E214" s="48" t="str">
        <x:v>Spore-forming?</x:v>
      </x:c>
      <x:c r="F214" s="48" t="str">
        <x:v>FALSE</x:v>
      </x:c>
      <x:c r="G214" s="48" t="str">
        <x:v>Spore formation: No.</x:v>
      </x:c>
      <x:c r="H214" s="48" t="str">
        <x:v>Easy</x:v>
      </x:c>
      <x:c r="I214" s="48" t="str">
        <x:v>High</x:v>
      </x:c>
      <x:c r="J214" s="48" t="str">
        <x:v>Bacterial Morphology &amp; Physiology Cantres 2026</x:v>
      </x:c>
      <x:c r="K214" s="48" t="str"/>
      <x:c r="L214" s="48" t="str">
        <x:v>TRUE</x:v>
      </x:c>
      <x:c r="M214" s="48" t="str"/>
      <x:c r="N214" s="54" t="n">
        <x:v>46277</x:v>
      </x:c>
    </x:row>
    <x:row r="215">
      <x:c r="A215" s="48" t="str">
        <x:v>Q0214</x:v>
      </x:c>
      <x:c r="B215" s="48" t="str">
        <x:v>ORG022</x:v>
      </x:c>
      <x:c r="C215" s="48" t="str">
        <x:v>Providencia spp. (P. rettgeri, P. stuartii)</x:v>
      </x:c>
      <x:c r="D215" s="48" t="str">
        <x:v>Growth</x:v>
      </x:c>
      <x:c r="E215" s="48" t="str">
        <x:v>Facultative anaerobe?</x:v>
      </x:c>
      <x:c r="F215" s="48" t="str">
        <x:v>TRUE</x:v>
      </x:c>
      <x:c r="G215" s="48" t="str">
        <x:v>Oxygen requirement: Facultative Anaerobe.</x:v>
      </x:c>
      <x:c r="H215" s="48" t="str">
        <x:v>Medium</x:v>
      </x:c>
      <x:c r="I215" s="48" t="str">
        <x:v>High</x:v>
      </x:c>
      <x:c r="J215" s="48" t="str">
        <x:v>Bacterial Morphology &amp; Physiology Cantres 2026</x:v>
      </x:c>
      <x:c r="K215" s="48" t="str"/>
      <x:c r="L215" s="48" t="str">
        <x:v>TRUE</x:v>
      </x:c>
      <x:c r="M215" s="48" t="str"/>
      <x:c r="N215" s="54" t="n">
        <x:v>46277</x:v>
      </x:c>
    </x:row>
    <x:row r="216">
      <x:c r="A216" s="48" t="str">
        <x:v>Q0215</x:v>
      </x:c>
      <x:c r="B216" s="48" t="str">
        <x:v>ORG022</x:v>
      </x:c>
      <x:c r="C216" s="48" t="str">
        <x:v>Providencia spp. (P. rettgeri, P. stuartii)</x:v>
      </x:c>
      <x:c r="D216" s="48" t="str">
        <x:v>Growth</x:v>
      </x:c>
      <x:c r="E216" s="48" t="str">
        <x:v>Strict aerobe?</x:v>
      </x:c>
      <x:c r="F216" s="48" t="str">
        <x:v>FALSE</x:v>
      </x:c>
      <x:c r="G216" s="48" t="str">
        <x:v>Oxygen requirement: Facultative Anaerobe.</x:v>
      </x:c>
      <x:c r="H216" s="48" t="str">
        <x:v>Medium</x:v>
      </x:c>
      <x:c r="I216" s="48" t="str">
        <x:v>High</x:v>
      </x:c>
      <x:c r="J216" s="48" t="str">
        <x:v>Bacterial Morphology &amp; Physiology Cantres 2026</x:v>
      </x:c>
      <x:c r="K216" s="48" t="str"/>
      <x:c r="L216" s="48" t="str">
        <x:v>TRUE</x:v>
      </x:c>
      <x:c r="M216" s="48" t="str"/>
      <x:c r="N216" s="54" t="n">
        <x:v>46277</x:v>
      </x:c>
    </x:row>
    <x:row r="217">
      <x:c r="A217" s="48" t="str">
        <x:v>Q0216</x:v>
      </x:c>
      <x:c r="B217" s="48" t="str">
        <x:v>ORG022</x:v>
      </x:c>
      <x:c r="C217" s="48" t="str">
        <x:v>Providencia spp. (P. rettgeri, P. stuartii)</x:v>
      </x:c>
      <x:c r="D217" s="48" t="str">
        <x:v>Growth</x:v>
      </x:c>
      <x:c r="E217" s="48" t="str">
        <x:v>Beta-hemolytic?</x:v>
      </x:c>
      <x:c r="F217" s="48" t="str">
        <x:v>FALSE</x:v>
      </x:c>
      <x:c r="G217" s="48" t="str">
        <x:v>Hemolysis: Non-hemolytic.</x:v>
      </x:c>
      <x:c r="H217" s="48" t="str">
        <x:v>Medium</x:v>
      </x:c>
      <x:c r="I217" s="48" t="str">
        <x:v>High</x:v>
      </x:c>
      <x:c r="J217" s="48" t="str">
        <x:v>Bacterial Morphology &amp; Physiology Cantres 2026</x:v>
      </x:c>
      <x:c r="K217" s="48" t="str"/>
      <x:c r="L217" s="48" t="str">
        <x:v>TRUE</x:v>
      </x:c>
      <x:c r="M217" s="48" t="str"/>
      <x:c r="N217" s="54" t="n">
        <x:v>46277</x:v>
      </x:c>
    </x:row>
    <x:row r="218">
      <x:c r="A218" s="48" t="str">
        <x:v>Q0217</x:v>
      </x:c>
      <x:c r="B218" s="48" t="str">
        <x:v>ORG022</x:v>
      </x:c>
      <x:c r="C218" s="48" t="str">
        <x:v>Providencia spp. (P. rettgeri, P. stuartii)</x:v>
      </x:c>
      <x:c r="D218" s="48" t="str">
        <x:v>Biochemical</x:v>
      </x:c>
      <x:c r="E218" s="48" t="str">
        <x:v>Indole positive?</x:v>
      </x:c>
      <x:c r="F218" s="48" t="str">
        <x:v>TRUE</x:v>
      </x:c>
      <x:c r="G218" s="48" t="str">
        <x:v>Key test profile: Citrate positive (+), Indole positive (+), H2S negative (-), Urease variable.</x:v>
      </x:c>
      <x:c r="H218" s="48" t="str">
        <x:v>Medium</x:v>
      </x:c>
      <x:c r="I218" s="48" t="str">
        <x:v>High</x:v>
      </x:c>
      <x:c r="J218" s="48" t="str">
        <x:v>Bacterial Morphology &amp; Physiology Cantres 2026</x:v>
      </x:c>
      <x:c r="K218" s="48" t="str"/>
      <x:c r="L218" s="48" t="str">
        <x:v>TRUE</x:v>
      </x:c>
      <x:c r="M218" s="48" t="str"/>
      <x:c r="N218" s="54" t="n">
        <x:v>46277</x:v>
      </x:c>
    </x:row>
    <x:row r="219">
      <x:c r="A219" s="48" t="str">
        <x:v>Q0218</x:v>
      </x:c>
      <x:c r="B219" s="48" t="str">
        <x:v>ORG022</x:v>
      </x:c>
      <x:c r="C219" s="48" t="str">
        <x:v>Providencia spp. (P. rettgeri, P. stuartii)</x:v>
      </x:c>
      <x:c r="D219" s="48" t="str">
        <x:v>Biochemical</x:v>
      </x:c>
      <x:c r="E219" s="48" t="str">
        <x:v>H2S positive?</x:v>
      </x:c>
      <x:c r="F219" s="48" t="str">
        <x:v>FALSE</x:v>
      </x:c>
      <x:c r="G219" s="48" t="str">
        <x:v>Key test profile: Citrate positive (+), Indole positive (+), H2S negative (-), Urease variable.</x:v>
      </x:c>
      <x:c r="H219" s="48" t="str">
        <x:v>Medium</x:v>
      </x:c>
      <x:c r="I219" s="48" t="str">
        <x:v>High</x:v>
      </x:c>
      <x:c r="J219" s="48" t="str">
        <x:v>Bacterial Morphology &amp; Physiology Cantres 2026</x:v>
      </x:c>
      <x:c r="K219" s="48" t="str"/>
      <x:c r="L219" s="48" t="str">
        <x:v>TRUE</x:v>
      </x:c>
      <x:c r="M219" s="48" t="str"/>
      <x:c r="N219" s="54" t="n">
        <x:v>46277</x:v>
      </x:c>
    </x:row>
    <x:row r="220">
      <x:c r="A220" s="48" t="str">
        <x:v>Q0219</x:v>
      </x:c>
      <x:c r="B220" s="48" t="str">
        <x:v>ORG022</x:v>
      </x:c>
      <x:c r="C220" s="48" t="str">
        <x:v>Providencia spp. (P. rettgeri, P. stuartii)</x:v>
      </x:c>
      <x:c r="D220" s="48" t="str">
        <x:v>Biochemical</x:v>
      </x:c>
      <x:c r="E220" s="48" t="str">
        <x:v>Citrate positive?</x:v>
      </x:c>
      <x:c r="F220" s="48" t="str">
        <x:v>TRUE</x:v>
      </x:c>
      <x:c r="G220" s="48" t="str">
        <x:v>Key test profile: Citrate positive (+), Indole positive (+), H2S negative (-), Urease variable.</x:v>
      </x:c>
      <x:c r="H220" s="48" t="str">
        <x:v>Medium</x:v>
      </x:c>
      <x:c r="I220" s="48" t="str">
        <x:v>High</x:v>
      </x:c>
      <x:c r="J220" s="48" t="str">
        <x:v>Bacterial Morphology &amp; Physiology Cantres 2026</x:v>
      </x:c>
      <x:c r="K220" s="48" t="str"/>
      <x:c r="L220" s="48" t="str">
        <x:v>TRUE</x:v>
      </x:c>
      <x:c r="M220" s="48" t="str"/>
      <x:c r="N220" s="54" t="n">
        <x:v>46277</x:v>
      </x:c>
    </x:row>
    <x:row r="221">
      <x:c r="A221" s="48" t="str">
        <x:v>Q0220</x:v>
      </x:c>
      <x:c r="B221" s="48" t="str">
        <x:v>ORG023</x:v>
      </x:c>
      <x:c r="C221" s="48" t="str">
        <x:v>Serratia marcescens</x:v>
      </x:c>
      <x:c r="D221" s="48" t="str">
        <x:v>Morphology</x:v>
      </x:c>
      <x:c r="E221" s="48" t="str">
        <x:v>Gram-positive?</x:v>
      </x:c>
      <x:c r="F221" s="48" t="str">
        <x:v>FALSE</x:v>
      </x:c>
      <x:c r="G221" s="48" t="str">
        <x:v>Serratia marcescens is listed as Gram-Negative (-).</x:v>
      </x:c>
      <x:c r="H221" s="48" t="str">
        <x:v>Easy</x:v>
      </x:c>
      <x:c r="I221" s="48" t="str">
        <x:v>High</x:v>
      </x:c>
      <x:c r="J221" s="48" t="str">
        <x:v>Bacterial Morphology &amp; Physiology Cantres 2026</x:v>
      </x:c>
      <x:c r="K221" s="48" t="str"/>
      <x:c r="L221" s="48" t="str">
        <x:v>TRUE</x:v>
      </x:c>
      <x:c r="M221" s="48" t="str"/>
      <x:c r="N221" s="54" t="n">
        <x:v>46277</x:v>
      </x:c>
    </x:row>
    <x:row r="222">
      <x:c r="A222" s="48" t="str">
        <x:v>Q0221</x:v>
      </x:c>
      <x:c r="B222" s="48" t="str">
        <x:v>ORG023</x:v>
      </x:c>
      <x:c r="C222" s="48" t="str">
        <x:v>Serratia marcescens</x:v>
      </x:c>
      <x:c r="D222" s="48" t="str">
        <x:v>Biochemical</x:v>
      </x:c>
      <x:c r="E222" s="48" t="str">
        <x:v>Catalase positive?</x:v>
      </x:c>
      <x:c r="F222" s="48" t="str">
        <x:v>TRUE</x:v>
      </x:c>
      <x:c r="G222" s="48" t="str">
        <x:v>Catalase: Positive (+).</x:v>
      </x:c>
      <x:c r="H222" s="48" t="str">
        <x:v>Easy</x:v>
      </x:c>
      <x:c r="I222" s="48" t="str">
        <x:v>High</x:v>
      </x:c>
      <x:c r="J222" s="48" t="str">
        <x:v>Bacterial Morphology &amp; Physiology Cantres 2026</x:v>
      </x:c>
      <x:c r="K222" s="48" t="str"/>
      <x:c r="L222" s="48" t="str">
        <x:v>TRUE</x:v>
      </x:c>
      <x:c r="M222" s="48" t="str"/>
      <x:c r="N222" s="54" t="n">
        <x:v>46277</x:v>
      </x:c>
    </x:row>
    <x:row r="223">
      <x:c r="A223" s="48" t="str">
        <x:v>Q0222</x:v>
      </x:c>
      <x:c r="B223" s="48" t="str">
        <x:v>ORG023</x:v>
      </x:c>
      <x:c r="C223" s="48" t="str">
        <x:v>Serratia marcescens</x:v>
      </x:c>
      <x:c r="D223" s="48" t="str">
        <x:v>Biochemical</x:v>
      </x:c>
      <x:c r="E223" s="48" t="str">
        <x:v>Oxidase positive?</x:v>
      </x:c>
      <x:c r="F223" s="48" t="str">
        <x:v>FALSE</x:v>
      </x:c>
      <x:c r="G223" s="48" t="str">
        <x:v>Oxidase: Negative (-).</x:v>
      </x:c>
      <x:c r="H223" s="48" t="str">
        <x:v>Easy</x:v>
      </x:c>
      <x:c r="I223" s="48" t="str">
        <x:v>High</x:v>
      </x:c>
      <x:c r="J223" s="48" t="str">
        <x:v>Bacterial Morphology &amp; Physiology Cantres 2026</x:v>
      </x:c>
      <x:c r="K223" s="48" t="str"/>
      <x:c r="L223" s="48" t="str">
        <x:v>TRUE</x:v>
      </x:c>
      <x:c r="M223" s="48" t="str"/>
      <x:c r="N223" s="54" t="n">
        <x:v>46277</x:v>
      </x:c>
    </x:row>
    <x:row r="224">
      <x:c r="A224" s="48" t="str">
        <x:v>Q0223</x:v>
      </x:c>
      <x:c r="B224" s="48" t="str">
        <x:v>ORG023</x:v>
      </x:c>
      <x:c r="C224" s="48" t="str">
        <x:v>Serratia marcescens</x:v>
      </x:c>
      <x:c r="D224" s="48" t="str">
        <x:v>Morphology</x:v>
      </x:c>
      <x:c r="E224" s="48" t="str">
        <x:v>Motile?</x:v>
      </x:c>
      <x:c r="F224" s="48" t="str">
        <x:v>TRUE</x:v>
      </x:c>
      <x:c r="G224" s="48" t="str">
        <x:v>Motility: Motile.</x:v>
      </x:c>
      <x:c r="H224" s="48" t="str">
        <x:v>Easy</x:v>
      </x:c>
      <x:c r="I224" s="48" t="str">
        <x:v>High</x:v>
      </x:c>
      <x:c r="J224" s="48" t="str">
        <x:v>Bacterial Morphology &amp; Physiology Cantres 2026</x:v>
      </x:c>
      <x:c r="K224" s="48" t="str"/>
      <x:c r="L224" s="48" t="str">
        <x:v>TRUE</x:v>
      </x:c>
      <x:c r="M224" s="48" t="str"/>
      <x:c r="N224" s="54" t="n">
        <x:v>46277</x:v>
      </x:c>
    </x:row>
    <x:row r="225">
      <x:c r="A225" s="48" t="str">
        <x:v>Q0224</x:v>
      </x:c>
      <x:c r="B225" s="48" t="str">
        <x:v>ORG023</x:v>
      </x:c>
      <x:c r="C225" s="48" t="str">
        <x:v>Serratia marcescens</x:v>
      </x:c>
      <x:c r="D225" s="48" t="str">
        <x:v>Morphology</x:v>
      </x:c>
      <x:c r="E225" s="48" t="str">
        <x:v>Spore-forming?</x:v>
      </x:c>
      <x:c r="F225" s="48" t="str">
        <x:v>FALSE</x:v>
      </x:c>
      <x:c r="G225" s="48" t="str">
        <x:v>Spore formation: No.</x:v>
      </x:c>
      <x:c r="H225" s="48" t="str">
        <x:v>Easy</x:v>
      </x:c>
      <x:c r="I225" s="48" t="str">
        <x:v>High</x:v>
      </x:c>
      <x:c r="J225" s="48" t="str">
        <x:v>Bacterial Morphology &amp; Physiology Cantres 2026</x:v>
      </x:c>
      <x:c r="K225" s="48" t="str"/>
      <x:c r="L225" s="48" t="str">
        <x:v>TRUE</x:v>
      </x:c>
      <x:c r="M225" s="48" t="str"/>
      <x:c r="N225" s="54" t="n">
        <x:v>46277</x:v>
      </x:c>
    </x:row>
    <x:row r="226">
      <x:c r="A226" s="48" t="str">
        <x:v>Q0225</x:v>
      </x:c>
      <x:c r="B226" s="48" t="str">
        <x:v>ORG023</x:v>
      </x:c>
      <x:c r="C226" s="48" t="str">
        <x:v>Serratia marcescens</x:v>
      </x:c>
      <x:c r="D226" s="48" t="str">
        <x:v>Growth</x:v>
      </x:c>
      <x:c r="E226" s="48" t="str">
        <x:v>Facultative anaerobe?</x:v>
      </x:c>
      <x:c r="F226" s="48" t="str">
        <x:v>TRUE</x:v>
      </x:c>
      <x:c r="G226" s="48" t="str">
        <x:v>Oxygen requirement: Facultative Anaerobe.</x:v>
      </x:c>
      <x:c r="H226" s="48" t="str">
        <x:v>Medium</x:v>
      </x:c>
      <x:c r="I226" s="48" t="str">
        <x:v>High</x:v>
      </x:c>
      <x:c r="J226" s="48" t="str">
        <x:v>Bacterial Morphology &amp; Physiology Cantres 2026</x:v>
      </x:c>
      <x:c r="K226" s="48" t="str"/>
      <x:c r="L226" s="48" t="str">
        <x:v>TRUE</x:v>
      </x:c>
      <x:c r="M226" s="48" t="str"/>
      <x:c r="N226" s="54" t="n">
        <x:v>46277</x:v>
      </x:c>
    </x:row>
    <x:row r="227">
      <x:c r="A227" s="48" t="str">
        <x:v>Q0226</x:v>
      </x:c>
      <x:c r="B227" s="48" t="str">
        <x:v>ORG023</x:v>
      </x:c>
      <x:c r="C227" s="48" t="str">
        <x:v>Serratia marcescens</x:v>
      </x:c>
      <x:c r="D227" s="48" t="str">
        <x:v>Growth</x:v>
      </x:c>
      <x:c r="E227" s="48" t="str">
        <x:v>Strict aerobe?</x:v>
      </x:c>
      <x:c r="F227" s="48" t="str">
        <x:v>FALSE</x:v>
      </x:c>
      <x:c r="G227" s="48" t="str">
        <x:v>Oxygen requirement: Facultative Anaerobe.</x:v>
      </x:c>
      <x:c r="H227" s="48" t="str">
        <x:v>Medium</x:v>
      </x:c>
      <x:c r="I227" s="48" t="str">
        <x:v>High</x:v>
      </x:c>
      <x:c r="J227" s="48" t="str">
        <x:v>Bacterial Morphology &amp; Physiology Cantres 2026</x:v>
      </x:c>
      <x:c r="K227" s="48" t="str"/>
      <x:c r="L227" s="48" t="str">
        <x:v>TRUE</x:v>
      </x:c>
      <x:c r="M227" s="48" t="str"/>
      <x:c r="N227" s="54" t="n">
        <x:v>46277</x:v>
      </x:c>
    </x:row>
    <x:row r="228">
      <x:c r="A228" s="48" t="str">
        <x:v>Q0227</x:v>
      </x:c>
      <x:c r="B228" s="48" t="str">
        <x:v>ORG023</x:v>
      </x:c>
      <x:c r="C228" s="48" t="str">
        <x:v>Serratia marcescens</x:v>
      </x:c>
      <x:c r="D228" s="48" t="str">
        <x:v>Growth</x:v>
      </x:c>
      <x:c r="E228" s="48" t="str">
        <x:v>Beta-hemolytic?</x:v>
      </x:c>
      <x:c r="F228" s="48" t="str">
        <x:v>FALSE</x:v>
      </x:c>
      <x:c r="G228" s="48" t="str">
        <x:v>Hemolysis: Non-hemolytic.</x:v>
      </x:c>
      <x:c r="H228" s="48" t="str">
        <x:v>Medium</x:v>
      </x:c>
      <x:c r="I228" s="48" t="str">
        <x:v>High</x:v>
      </x:c>
      <x:c r="J228" s="48" t="str">
        <x:v>Bacterial Morphology &amp; Physiology Cantres 2026</x:v>
      </x:c>
      <x:c r="K228" s="48" t="str"/>
      <x:c r="L228" s="48" t="str">
        <x:v>TRUE</x:v>
      </x:c>
      <x:c r="M228" s="48" t="str"/>
      <x:c r="N228" s="54" t="n">
        <x:v>46277</x:v>
      </x:c>
    </x:row>
    <x:row r="229">
      <x:c r="A229" s="48" t="str">
        <x:v>Q0228</x:v>
      </x:c>
      <x:c r="B229" s="48" t="str">
        <x:v>ORG023</x:v>
      </x:c>
      <x:c r="C229" s="48" t="str">
        <x:v>Serratia marcescens</x:v>
      </x:c>
      <x:c r="D229" s="48" t="str">
        <x:v>Biochemical</x:v>
      </x:c>
      <x:c r="E229" s="48" t="str">
        <x:v>Lactose fermenter?</x:v>
      </x:c>
      <x:c r="F229" s="48" t="str">
        <x:v>TRUE</x:v>
      </x:c>
      <x:c r="G229" s="48" t="str">
        <x:v>Key test profile: Slow lactose fermenter, Extracellular DNase positive (+), Lipase (+), Gelatinase (+), VP positive (+).</x:v>
      </x:c>
      <x:c r="H229" s="48" t="str">
        <x:v>Medium</x:v>
      </x:c>
      <x:c r="I229" s="48" t="str">
        <x:v>High</x:v>
      </x:c>
      <x:c r="J229" s="48" t="str">
        <x:v>Bacterial Morphology &amp; Physiology Cantres 2026</x:v>
      </x:c>
      <x:c r="K229" s="48" t="str"/>
      <x:c r="L229" s="48" t="str">
        <x:v>TRUE</x:v>
      </x:c>
      <x:c r="M229" s="48" t="str"/>
      <x:c r="N229" s="54" t="n">
        <x:v>46277</x:v>
      </x:c>
    </x:row>
    <x:row r="230">
      <x:c r="A230" s="48" t="str">
        <x:v>Q0229</x:v>
      </x:c>
      <x:c r="B230" s="48" t="str">
        <x:v>ORG023</x:v>
      </x:c>
      <x:c r="C230" s="48" t="str">
        <x:v>Serratia marcescens</x:v>
      </x:c>
      <x:c r="D230" s="48" t="str">
        <x:v>Biochemical</x:v>
      </x:c>
      <x:c r="E230" s="48" t="str">
        <x:v>DNase positive?</x:v>
      </x:c>
      <x:c r="F230" s="48" t="str">
        <x:v>TRUE</x:v>
      </x:c>
      <x:c r="G230" s="48" t="str">
        <x:v>Key test profile: Slow lactose fermenter, Extracellular DNase positive (+), Lipase (+), Gelatinase (+), VP positive (+).</x:v>
      </x:c>
      <x:c r="H230" s="48" t="str">
        <x:v>Medium</x:v>
      </x:c>
      <x:c r="I230" s="48" t="str">
        <x:v>High</x:v>
      </x:c>
      <x:c r="J230" s="48" t="str">
        <x:v>Bacterial Morphology &amp; Physiology Cantres 2026</x:v>
      </x:c>
      <x:c r="K230" s="48" t="str"/>
      <x:c r="L230" s="48" t="str">
        <x:v>TRUE</x:v>
      </x:c>
      <x:c r="M230" s="48" t="str"/>
      <x:c r="N230" s="54" t="n">
        <x:v>46277</x:v>
      </x:c>
    </x:row>
    <x:row r="231">
      <x:c r="A231" s="48" t="str">
        <x:v>Q0230</x:v>
      </x:c>
      <x:c r="B231" s="48" t="str">
        <x:v>ORG024</x:v>
      </x:c>
      <x:c r="C231" s="48" t="str">
        <x:v>Yersinia enterocolitica</x:v>
      </x:c>
      <x:c r="D231" s="48" t="str">
        <x:v>Morphology</x:v>
      </x:c>
      <x:c r="E231" s="48" t="str">
        <x:v>Gram-positive?</x:v>
      </x:c>
      <x:c r="F231" s="48" t="str">
        <x:v>FALSE</x:v>
      </x:c>
      <x:c r="G231" s="48" t="str">
        <x:v>Yersinia enterocolitica is listed as Gram-Negative (-).</x:v>
      </x:c>
      <x:c r="H231" s="48" t="str">
        <x:v>Easy</x:v>
      </x:c>
      <x:c r="I231" s="48" t="str">
        <x:v>High</x:v>
      </x:c>
      <x:c r="J231" s="48" t="str">
        <x:v>Bacterial Morphology &amp; Physiology Cantres 2026</x:v>
      </x:c>
      <x:c r="K231" s="48" t="str"/>
      <x:c r="L231" s="48" t="str">
        <x:v>TRUE</x:v>
      </x:c>
      <x:c r="M231" s="48" t="str"/>
      <x:c r="N231" s="54" t="n">
        <x:v>46277</x:v>
      </x:c>
    </x:row>
    <x:row r="232">
      <x:c r="A232" s="48" t="str">
        <x:v>Q0231</x:v>
      </x:c>
      <x:c r="B232" s="48" t="str">
        <x:v>ORG024</x:v>
      </x:c>
      <x:c r="C232" s="48" t="str">
        <x:v>Yersinia enterocolitica</x:v>
      </x:c>
      <x:c r="D232" s="48" t="str">
        <x:v>Biochemical</x:v>
      </x:c>
      <x:c r="E232" s="48" t="str">
        <x:v>Catalase positive?</x:v>
      </x:c>
      <x:c r="F232" s="48" t="str">
        <x:v>TRUE</x:v>
      </x:c>
      <x:c r="G232" s="48" t="str">
        <x:v>Catalase: Positive (+).</x:v>
      </x:c>
      <x:c r="H232" s="48" t="str">
        <x:v>Easy</x:v>
      </x:c>
      <x:c r="I232" s="48" t="str">
        <x:v>High</x:v>
      </x:c>
      <x:c r="J232" s="48" t="str">
        <x:v>Bacterial Morphology &amp; Physiology Cantres 2026</x:v>
      </x:c>
      <x:c r="K232" s="48" t="str"/>
      <x:c r="L232" s="48" t="str">
        <x:v>TRUE</x:v>
      </x:c>
      <x:c r="M232" s="48" t="str"/>
      <x:c r="N232" s="54" t="n">
        <x:v>46277</x:v>
      </x:c>
    </x:row>
    <x:row r="233">
      <x:c r="A233" s="48" t="str">
        <x:v>Q0232</x:v>
      </x:c>
      <x:c r="B233" s="48" t="str">
        <x:v>ORG024</x:v>
      </x:c>
      <x:c r="C233" s="48" t="str">
        <x:v>Yersinia enterocolitica</x:v>
      </x:c>
      <x:c r="D233" s="48" t="str">
        <x:v>Biochemical</x:v>
      </x:c>
      <x:c r="E233" s="48" t="str">
        <x:v>Oxidase positive?</x:v>
      </x:c>
      <x:c r="F233" s="48" t="str">
        <x:v>FALSE</x:v>
      </x:c>
      <x:c r="G233" s="48" t="str">
        <x:v>Oxidase: Negative (-).</x:v>
      </x:c>
      <x:c r="H233" s="48" t="str">
        <x:v>Easy</x:v>
      </x:c>
      <x:c r="I233" s="48" t="str">
        <x:v>High</x:v>
      </x:c>
      <x:c r="J233" s="48" t="str">
        <x:v>Bacterial Morphology &amp; Physiology Cantres 2026</x:v>
      </x:c>
      <x:c r="K233" s="48" t="str"/>
      <x:c r="L233" s="48" t="str">
        <x:v>TRUE</x:v>
      </x:c>
      <x:c r="M233" s="48" t="str"/>
      <x:c r="N233" s="54" t="n">
        <x:v>46277</x:v>
      </x:c>
    </x:row>
    <x:row r="234">
      <x:c r="A234" s="48" t="str">
        <x:v>Q0233</x:v>
      </x:c>
      <x:c r="B234" s="48" t="str">
        <x:v>ORG024</x:v>
      </x:c>
      <x:c r="C234" s="48" t="str">
        <x:v>Yersinia enterocolitica</x:v>
      </x:c>
      <x:c r="D234" s="48" t="str">
        <x:v>Morphology</x:v>
      </x:c>
      <x:c r="E234" s="48" t="str">
        <x:v>Spore-forming?</x:v>
      </x:c>
      <x:c r="F234" s="48" t="str">
        <x:v>FALSE</x:v>
      </x:c>
      <x:c r="G234" s="48" t="str">
        <x:v>Spore formation: No.</x:v>
      </x:c>
      <x:c r="H234" s="48" t="str">
        <x:v>Easy</x:v>
      </x:c>
      <x:c r="I234" s="48" t="str">
        <x:v>High</x:v>
      </x:c>
      <x:c r="J234" s="48" t="str">
        <x:v>Bacterial Morphology &amp; Physiology Cantres 2026</x:v>
      </x:c>
      <x:c r="K234" s="48" t="str"/>
      <x:c r="L234" s="48" t="str">
        <x:v>TRUE</x:v>
      </x:c>
      <x:c r="M234" s="48" t="str"/>
      <x:c r="N234" s="54" t="n">
        <x:v>46277</x:v>
      </x:c>
    </x:row>
    <x:row r="235">
      <x:c r="A235" s="48" t="str">
        <x:v>Q0234</x:v>
      </x:c>
      <x:c r="B235" s="48" t="str">
        <x:v>ORG024</x:v>
      </x:c>
      <x:c r="C235" s="48" t="str">
        <x:v>Yersinia enterocolitica</x:v>
      </x:c>
      <x:c r="D235" s="48" t="str">
        <x:v>Growth</x:v>
      </x:c>
      <x:c r="E235" s="48" t="str">
        <x:v>Facultative anaerobe?</x:v>
      </x:c>
      <x:c r="F235" s="48" t="str">
        <x:v>TRUE</x:v>
      </x:c>
      <x:c r="G235" s="48" t="str">
        <x:v>Oxygen requirement: Facultative Anaerobe (psychrotrophic - grows at 4°C).</x:v>
      </x:c>
      <x:c r="H235" s="48" t="str">
        <x:v>Medium</x:v>
      </x:c>
      <x:c r="I235" s="48" t="str">
        <x:v>High</x:v>
      </x:c>
      <x:c r="J235" s="48" t="str">
        <x:v>Bacterial Morphology &amp; Physiology Cantres 2026</x:v>
      </x:c>
      <x:c r="K235" s="48" t="str"/>
      <x:c r="L235" s="48" t="str">
        <x:v>TRUE</x:v>
      </x:c>
      <x:c r="M235" s="48" t="str"/>
      <x:c r="N235" s="54" t="n">
        <x:v>46277</x:v>
      </x:c>
    </x:row>
    <x:row r="236">
      <x:c r="A236" s="48" t="str">
        <x:v>Q0235</x:v>
      </x:c>
      <x:c r="B236" s="48" t="str">
        <x:v>ORG024</x:v>
      </x:c>
      <x:c r="C236" s="48" t="str">
        <x:v>Yersinia enterocolitica</x:v>
      </x:c>
      <x:c r="D236" s="48" t="str">
        <x:v>Growth</x:v>
      </x:c>
      <x:c r="E236" s="48" t="str">
        <x:v>Strict aerobe?</x:v>
      </x:c>
      <x:c r="F236" s="48" t="str">
        <x:v>FALSE</x:v>
      </x:c>
      <x:c r="G236" s="48" t="str">
        <x:v>Oxygen requirement: Facultative Anaerobe (psychrotrophic - grows at 4°C).</x:v>
      </x:c>
      <x:c r="H236" s="48" t="str">
        <x:v>Medium</x:v>
      </x:c>
      <x:c r="I236" s="48" t="str">
        <x:v>High</x:v>
      </x:c>
      <x:c r="J236" s="48" t="str">
        <x:v>Bacterial Morphology &amp; Physiology Cantres 2026</x:v>
      </x:c>
      <x:c r="K236" s="48" t="str"/>
      <x:c r="L236" s="48" t="str">
        <x:v>TRUE</x:v>
      </x:c>
      <x:c r="M236" s="48" t="str"/>
      <x:c r="N236" s="54" t="n">
        <x:v>46277</x:v>
      </x:c>
    </x:row>
    <x:row r="237">
      <x:c r="A237" s="48" t="str">
        <x:v>Q0236</x:v>
      </x:c>
      <x:c r="B237" s="48" t="str">
        <x:v>ORG024</x:v>
      </x:c>
      <x:c r="C237" s="48" t="str">
        <x:v>Yersinia enterocolitica</x:v>
      </x:c>
      <x:c r="D237" s="48" t="str">
        <x:v>Growth</x:v>
      </x:c>
      <x:c r="E237" s="48" t="str">
        <x:v>Beta-hemolytic?</x:v>
      </x:c>
      <x:c r="F237" s="48" t="str">
        <x:v>FALSE</x:v>
      </x:c>
      <x:c r="G237" s="48" t="str">
        <x:v>Hemolysis: Non-hemolytic.</x:v>
      </x:c>
      <x:c r="H237" s="48" t="str">
        <x:v>Medium</x:v>
      </x:c>
      <x:c r="I237" s="48" t="str">
        <x:v>High</x:v>
      </x:c>
      <x:c r="J237" s="48" t="str">
        <x:v>Bacterial Morphology &amp; Physiology Cantres 2026</x:v>
      </x:c>
      <x:c r="K237" s="48" t="str"/>
      <x:c r="L237" s="48" t="str">
        <x:v>TRUE</x:v>
      </x:c>
      <x:c r="M237" s="48" t="str"/>
      <x:c r="N237" s="54" t="n">
        <x:v>46277</x:v>
      </x:c>
    </x:row>
    <x:row r="238">
      <x:c r="A238" s="48" t="str">
        <x:v>Q0237</x:v>
      </x:c>
      <x:c r="B238" s="48" t="str">
        <x:v>ORG024</x:v>
      </x:c>
      <x:c r="C238" s="48" t="str">
        <x:v>Yersinia enterocolitica</x:v>
      </x:c>
      <x:c r="D238" s="48" t="str">
        <x:v>Biochemical</x:v>
      </x:c>
      <x:c r="E238" s="48" t="str">
        <x:v>Lactose fermenter?</x:v>
      </x:c>
      <x:c r="F238" s="48" t="str">
        <x:v>FALSE</x:v>
      </x:c>
      <x:c r="G238" s="48" t="str">
        <x:v>Key test profile: Lactose non-fermenter, Urease positive (+), Heat-stable enterotoxin (Y-ST).</x:v>
      </x:c>
      <x:c r="H238" s="48" t="str">
        <x:v>Medium</x:v>
      </x:c>
      <x:c r="I238" s="48" t="str">
        <x:v>High</x:v>
      </x:c>
      <x:c r="J238" s="48" t="str">
        <x:v>Bacterial Morphology &amp; Physiology Cantres 2026</x:v>
      </x:c>
      <x:c r="K238" s="48" t="str"/>
      <x:c r="L238" s="48" t="str">
        <x:v>TRUE</x:v>
      </x:c>
      <x:c r="M238" s="48" t="str"/>
      <x:c r="N238" s="54" t="n">
        <x:v>46277</x:v>
      </x:c>
    </x:row>
    <x:row r="239">
      <x:c r="A239" s="48" t="str">
        <x:v>Q0238</x:v>
      </x:c>
      <x:c r="B239" s="48" t="str">
        <x:v>ORG024</x:v>
      </x:c>
      <x:c r="C239" s="48" t="str">
        <x:v>Yersinia enterocolitica</x:v>
      </x:c>
      <x:c r="D239" s="48" t="str">
        <x:v>Biochemical</x:v>
      </x:c>
      <x:c r="E239" s="48" t="str">
        <x:v>Urease positive?</x:v>
      </x:c>
      <x:c r="F239" s="48" t="str">
        <x:v>TRUE</x:v>
      </x:c>
      <x:c r="G239" s="48" t="str">
        <x:v>Key test profile: Lactose non-fermenter, Urease positive (+), Heat-stable enterotoxin (Y-ST).</x:v>
      </x:c>
      <x:c r="H239" s="48" t="str">
        <x:v>Medium</x:v>
      </x:c>
      <x:c r="I239" s="48" t="str">
        <x:v>High</x:v>
      </x:c>
      <x:c r="J239" s="48" t="str">
        <x:v>Bacterial Morphology &amp; Physiology Cantres 2026</x:v>
      </x:c>
      <x:c r="K239" s="48" t="str"/>
      <x:c r="L239" s="48" t="str">
        <x:v>TRUE</x:v>
      </x:c>
      <x:c r="M239" s="48" t="str"/>
      <x:c r="N239" s="54" t="n">
        <x:v>46277</x:v>
      </x:c>
    </x:row>
  </x:sheetData>
  <x:conditionalFormatting sqref="F2:F239">
    <x:cfRule type="expression" dxfId="3" priority="4">
      <x:formula>F2="TRUE"</x:formula>
    </x:cfRule>
    <x:cfRule type="expression" dxfId="4" priority="5">
      <x:formula>F2="FALSE"</x:formula>
    </x:cfRule>
  </x:conditionalFormatting>
  <x:conditionalFormatting sqref="L2:L239">
    <x:cfRule type="expression" dxfId="5" priority="6">
      <x:formula>L2="FALSE"</x:formula>
    </x:cfRule>
  </x:conditionalFormatting>
  <x:dataValidations count="5">
    <x:dataValidation type="list" sqref="F2:F239">
      <x:formula1>"TRUE,FALSE"</x:formula1>
    </x:dataValidation>
    <x:dataValidation type="list" sqref="D2:D239">
      <x:formula1>"Morphology,Biochemical,Growth,Clinical,Virulence,Treatment,Resistance,Epidemiology"</x:formula1>
    </x:dataValidation>
    <x:dataValidation type="list" sqref="H2:H239">
      <x:formula1>"Easy,Medium,Hard"</x:formula1>
    </x:dataValidation>
    <x:dataValidation type="list" sqref="I2:I239">
      <x:formula1>"Core,High,Medium,Low"</x:formula1>
    </x:dataValidation>
    <x:dataValidation type="list" sqref="L2:L239">
      <x:formula1>"TRUE,FALSE"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d3afa1d47b74252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42" hidden="0" customWidth="1"/>
    <x:col min="3" max="3" width="18" hidden="0" customWidth="1"/>
    <x:col min="4" max="4" width="24" hidden="0" customWidth="1"/>
    <x:col min="5" max="5" width="44" hidden="0" customWidth="1"/>
    <x:col min="6" max="6" width="55" hidden="0" customWidth="1"/>
    <x:col min="7" max="7" width="10" hidden="0" customWidth="1"/>
  </x:cols>
  <x:sheetData>
    <x:row r="1">
      <x:c r="A1" s="42" t="str">
        <x:v>source_id</x:v>
      </x:c>
      <x:c r="B1" s="42" t="str">
        <x:v>source_name</x:v>
      </x:c>
      <x:c r="C1" s="42" t="str">
        <x:v>source_type</x:v>
      </x:c>
      <x:c r="D1" s="42" t="str">
        <x:v>course/module</x:v>
      </x:c>
      <x:c r="E1" s="42" t="str">
        <x:v>file_or_link</x:v>
      </x:c>
      <x:c r="F1" s="42" t="str">
        <x:v>notes</x:v>
      </x:c>
      <x:c r="G1" s="42" t="str">
        <x:v>active</x:v>
      </x:c>
    </x:row>
    <x:row r="2">
      <x:c r="A2" s="48" t="str">
        <x:v>SRC001</x:v>
      </x:c>
      <x:c r="B2" s="48" t="str">
        <x:v>Bacterial Morphology &amp; Physiology Cantres 2026</x:v>
      </x:c>
      <x:c r="C2" s="48" t="str">
        <x:v>Lecture slides</x:v>
      </x:c>
      <x:c r="D2" s="48" t="str">
        <x:v>Medical Microbiology</x:v>
      </x:c>
      <x:c r="E2" s="48" t="str"/>
      <x:c r="F2" s="48" t="str">
        <x:v>Initial source used for the imported 24-organism reference table.</x:v>
      </x:c>
      <x:c r="G2" s="48" t="str">
        <x:v>TRUE</x:v>
      </x:c>
    </x:row>
    <x:row r="3">
      <x:c r="A3" s="48"/>
      <x:c r="B3" s="48"/>
      <x:c r="C3" s="48"/>
      <x:c r="D3" s="48"/>
      <x:c r="E3" s="48"/>
      <x:c r="F3" s="48"/>
      <x:c r="G3" s="48"/>
    </x:row>
    <x:row r="4">
      <x:c r="A4" s="48"/>
      <x:c r="B4" s="48"/>
      <x:c r="C4" s="48"/>
      <x:c r="D4" s="48"/>
      <x:c r="E4" s="48"/>
      <x:c r="F4" s="48"/>
      <x:c r="G4" s="48"/>
    </x:row>
    <x:row r="5">
      <x:c r="A5" s="48"/>
      <x:c r="B5" s="48"/>
      <x:c r="C5" s="48"/>
      <x:c r="D5" s="48"/>
      <x:c r="E5" s="48"/>
      <x:c r="F5" s="48"/>
      <x:c r="G5" s="48"/>
    </x:row>
    <x:row r="6">
      <x:c r="A6" s="48"/>
      <x:c r="B6" s="48"/>
      <x:c r="C6" s="48"/>
      <x:c r="D6" s="48"/>
      <x:c r="E6" s="48"/>
      <x:c r="F6" s="48"/>
      <x:c r="G6" s="48"/>
    </x:row>
    <x:row r="7">
      <x:c r="A7" s="48"/>
      <x:c r="B7" s="48"/>
      <x:c r="C7" s="48"/>
      <x:c r="D7" s="48"/>
      <x:c r="E7" s="48"/>
      <x:c r="F7" s="48"/>
      <x:c r="G7" s="48"/>
    </x:row>
    <x:row r="8">
      <x:c r="A8" s="48"/>
      <x:c r="B8" s="48"/>
      <x:c r="C8" s="48"/>
      <x:c r="D8" s="48"/>
      <x:c r="E8" s="48"/>
      <x:c r="F8" s="48"/>
      <x:c r="G8" s="48"/>
    </x:row>
    <x:row r="9">
      <x:c r="A9" s="48"/>
      <x:c r="B9" s="48"/>
      <x:c r="C9" s="48"/>
      <x:c r="D9" s="48"/>
      <x:c r="E9" s="48"/>
      <x:c r="F9" s="48"/>
      <x:c r="G9" s="48"/>
    </x:row>
    <x:row r="10">
      <x:c r="A10" s="48"/>
      <x:c r="B10" s="48"/>
      <x:c r="C10" s="48"/>
      <x:c r="D10" s="48"/>
      <x:c r="E10" s="48"/>
      <x:c r="F10" s="48"/>
      <x:c r="G10" s="48"/>
    </x:row>
    <x:row r="11">
      <x:c r="A11" s="48"/>
      <x:c r="B11" s="48"/>
      <x:c r="C11" s="48"/>
      <x:c r="D11" s="48"/>
      <x:c r="E11" s="48"/>
      <x:c r="F11" s="48"/>
      <x:c r="G11" s="48"/>
    </x:row>
    <x:row r="12">
      <x:c r="A12" s="48"/>
      <x:c r="B12" s="48"/>
      <x:c r="C12" s="48"/>
      <x:c r="D12" s="48"/>
      <x:c r="E12" s="48"/>
      <x:c r="F12" s="48"/>
      <x:c r="G12" s="48"/>
    </x:row>
    <x:row r="13">
      <x:c r="A13" s="48"/>
      <x:c r="B13" s="48"/>
      <x:c r="C13" s="48"/>
      <x:c r="D13" s="48"/>
      <x:c r="E13" s="48"/>
      <x:c r="F13" s="48"/>
      <x:c r="G13" s="48"/>
    </x:row>
    <x:row r="14">
      <x:c r="A14" s="48"/>
      <x:c r="B14" s="48"/>
      <x:c r="C14" s="48"/>
      <x:c r="D14" s="48"/>
      <x:c r="E14" s="48"/>
      <x:c r="F14" s="48"/>
      <x:c r="G14" s="48"/>
    </x:row>
    <x:row r="15">
      <x:c r="A15" s="48"/>
      <x:c r="B15" s="48"/>
      <x:c r="C15" s="48"/>
      <x:c r="D15" s="48"/>
      <x:c r="E15" s="48"/>
      <x:c r="F15" s="48"/>
      <x:c r="G15" s="48"/>
    </x:row>
    <x:row r="16">
      <x:c r="A16" s="48"/>
      <x:c r="B16" s="48"/>
      <x:c r="C16" s="48"/>
      <x:c r="D16" s="48"/>
      <x:c r="E16" s="48"/>
      <x:c r="F16" s="48"/>
      <x:c r="G16" s="48"/>
    </x:row>
    <x:row r="17">
      <x:c r="A17" s="48"/>
      <x:c r="B17" s="48"/>
      <x:c r="C17" s="48"/>
      <x:c r="D17" s="48"/>
      <x:c r="E17" s="48"/>
      <x:c r="F17" s="48"/>
      <x:c r="G17" s="48"/>
    </x:row>
    <x:row r="18">
      <x:c r="A18" s="48"/>
      <x:c r="B18" s="48"/>
      <x:c r="C18" s="48"/>
      <x:c r="D18" s="48"/>
      <x:c r="E18" s="48"/>
      <x:c r="F18" s="48"/>
      <x:c r="G18" s="48"/>
    </x:row>
    <x:row r="19">
      <x:c r="A19" s="48"/>
      <x:c r="B19" s="48"/>
      <x:c r="C19" s="48"/>
      <x:c r="D19" s="48"/>
      <x:c r="E19" s="48"/>
      <x:c r="F19" s="48"/>
      <x:c r="G19" s="48"/>
    </x:row>
    <x:row r="20">
      <x:c r="A20" s="48"/>
      <x:c r="B20" s="48"/>
      <x:c r="C20" s="48"/>
      <x:c r="D20" s="48"/>
      <x:c r="E20" s="48"/>
      <x:c r="F20" s="48"/>
      <x:c r="G20" s="48"/>
    </x:row>
  </x:sheetData>
  <x:dataValidations count="1">
    <x:dataValidation type="list" sqref="G2:G200">
      <x:formula1>"TRUE,FALSE"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0e5b4ac2eb744cd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24" hidden="0" customWidth="1"/>
    <x:col min="3" max="3" width="65" hidden="0" customWidth="1"/>
  </x:cols>
  <x:sheetData>
    <x:row r="1">
      <x:c r="A1" s="42" t="str">
        <x:v>setting</x:v>
      </x:c>
      <x:c r="B1" s="42" t="str">
        <x:v>value</x:v>
      </x:c>
      <x:c r="C1" s="42" t="str">
        <x:v>description</x:v>
      </x:c>
    </x:row>
    <x:row r="2">
      <x:c r="A2" s="48" t="str">
        <x:v>app_title</x:v>
      </x:c>
      <x:c r="B2" s="48" t="str">
        <x:v>Bacteria Survival</x:v>
      </x:c>
      <x:c r="C2" s="48" t="str">
        <x:v>Title shown to players.</x:v>
      </x:c>
    </x:row>
    <x:row r="3">
      <x:c r="A3" s="48" t="str">
        <x:v>questions_per_round</x:v>
      </x:c>
      <x:c r="B3" s="48" t="n">
        <x:v>8</x:v>
      </x:c>
      <x:c r="C3" s="48" t="str">
        <x:v>Default number of prompts before the organism is cleared.</x:v>
      </x:c>
    </x:row>
    <x:row r="4">
      <x:c r="A4" s="48" t="str">
        <x:v>starting_lives</x:v>
      </x:c>
      <x:c r="B4" s="48" t="n">
        <x:v>1</x:v>
      </x:c>
      <x:c r="C4" s="48" t="str">
        <x:v>Use 1 for strict survival mode; increase later for practice mode.</x:v>
      </x:c>
    </x:row>
    <x:row r="5">
      <x:c r="A5" s="48" t="str">
        <x:v>shuffle_questions</x:v>
      </x:c>
      <x:c r="B5" s="48" t="str">
        <x:v>TRUE</x:v>
      </x:c>
      <x:c r="C5" s="48" t="str">
        <x:v>Randomize question order for each organism.</x:v>
      </x:c>
    </x:row>
    <x:row r="6">
      <x:c r="A6" s="48" t="str">
        <x:v>show_explanation_after_wrong</x:v>
      </x:c>
      <x:c r="B6" s="48" t="str">
        <x:v>TRUE</x:v>
      </x:c>
      <x:c r="C6" s="48" t="str">
        <x:v>Show the explanation immediately after an incorrect swipe.</x:v>
      </x:c>
    </x:row>
    <x:row r="7">
      <x:c r="A7" s="48" t="str">
        <x:v>show_explanation_after_right</x:v>
      </x:c>
      <x:c r="B7" s="48" t="str">
        <x:v>FALSE</x:v>
      </x:c>
      <x:c r="C7" s="48" t="str">
        <x:v>Keeps survival mode fast; can be turned on for study mode.</x:v>
      </x:c>
    </x:row>
    <x:row r="8">
      <x:c r="A8" s="48" t="str">
        <x:v>only_active_questions</x:v>
      </x:c>
      <x:c r="B8" s="48" t="str">
        <x:v>TRUE</x:v>
      </x:c>
      <x:c r="C8" s="48" t="str">
        <x:v>Ignore rows where Active is FALSE.</x:v>
      </x:c>
    </x:row>
    <x:row r="9">
      <x:c r="A9" s="48" t="str">
        <x:v>minimum_questions_for_ready</x:v>
      </x:c>
      <x:c r="B9" s="48" t="n">
        <x:v>8</x:v>
      </x:c>
      <x:c r="C9" s="48" t="str">
        <x:v>Matches the Ready/Add questions status in the Organisms sheet.</x:v>
      </x:c>
    </x:row>
    <x:row r="10">
      <x:c r="A10" s="48" t="str">
        <x:v>data_version</x:v>
      </x:c>
      <x:c r="B10" s="48" t="n">
        <x:v>1</x:v>
      </x:c>
      <x:c r="C10" s="48" t="str">
        <x:v>Increment when making major schema/content changes.</x:v>
      </x:c>
    </x:row>
    <x:row r="11">
      <x:c r="A11" s="48" t="str">
        <x:v>last_updated</x:v>
      </x:c>
      <x:c r="B11" s="48" t="str">
        <x:v>2026-09-12</x:v>
      </x:c>
      <x:c r="C11" s="48" t="str">
        <x:v>Database maintenance date.</x:v>
      </x:c>
    </x:row>
  </x:sheetData>
  <x:pageMargins left="0.7" right="0.7" top="0.75" bottom="0.75" header="0.3" footer="0.3"/>
  <x:tableParts count="1">
    <x:tablePart xmlns:r="http://schemas.openxmlformats.org/officeDocument/2006/relationships" r:id="Re99582398ce849fa"/>
  </x:tableParts>
</x:worksheet>
</file>